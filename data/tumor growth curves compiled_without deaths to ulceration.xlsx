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kumente\PostDoc\Publications\Jenner et al 2024\Data\"/>
    </mc:Choice>
  </mc:AlternateContent>
  <xr:revisionPtr revIDLastSave="0" documentId="8_{D18F115D-49FA-44D7-8777-6619830739BA}" xr6:coauthVersionLast="47" xr6:coauthVersionMax="47" xr10:uidLastSave="{00000000-0000-0000-0000-000000000000}"/>
  <bookViews>
    <workbookView xWindow="-108" yWindow="-108" windowWidth="23256" windowHeight="12576" xr2:uid="{E346386D-8E36-4F63-8581-80B3863406DC}"/>
  </bookViews>
  <sheets>
    <sheet name="overview" sheetId="1" r:id="rId1"/>
    <sheet name="mock_ulc removed" sheetId="2" r:id="rId2"/>
    <sheet name="BiTE_ulc removed" sheetId="3" r:id="rId3"/>
    <sheet name="MV_ulc removed" sheetId="4" r:id="rId4"/>
    <sheet name="MV-BiTE_ulc removed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41" i="5" l="1"/>
  <c r="V41" i="5"/>
  <c r="T41" i="5"/>
  <c r="R41" i="5"/>
  <c r="P41" i="5"/>
  <c r="L41" i="5"/>
  <c r="K41" i="5"/>
  <c r="J41" i="5"/>
  <c r="I41" i="5"/>
  <c r="E41" i="5"/>
  <c r="W39" i="5"/>
  <c r="V39" i="5"/>
  <c r="T39" i="5"/>
  <c r="R39" i="5"/>
  <c r="P39" i="5"/>
  <c r="L39" i="5"/>
  <c r="K39" i="5"/>
  <c r="J39" i="5"/>
  <c r="I39" i="5"/>
  <c r="E39" i="5"/>
  <c r="E8" i="4"/>
  <c r="E9" i="4"/>
  <c r="E27" i="4" s="1"/>
  <c r="E10" i="4"/>
  <c r="E11" i="4"/>
  <c r="E12" i="4"/>
  <c r="E29" i="4" s="1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I27" i="4"/>
  <c r="J27" i="4"/>
  <c r="K27" i="4"/>
  <c r="L27" i="4"/>
  <c r="P27" i="4"/>
  <c r="R27" i="4"/>
  <c r="T27" i="4"/>
  <c r="V27" i="4"/>
  <c r="I29" i="4"/>
  <c r="J29" i="4"/>
  <c r="K29" i="4"/>
  <c r="L29" i="4"/>
  <c r="P29" i="4"/>
  <c r="R29" i="4"/>
  <c r="T29" i="4"/>
  <c r="V29" i="4"/>
  <c r="T29" i="3"/>
  <c r="R29" i="3"/>
  <c r="L29" i="3"/>
  <c r="K29" i="3"/>
  <c r="J29" i="3"/>
  <c r="T27" i="3"/>
  <c r="R27" i="3"/>
  <c r="L27" i="3"/>
  <c r="K27" i="3"/>
  <c r="J27" i="3"/>
  <c r="E11" i="3"/>
  <c r="E10" i="3"/>
  <c r="E9" i="3"/>
  <c r="E8" i="3"/>
  <c r="E29" i="3" s="1"/>
  <c r="T29" i="2"/>
  <c r="R29" i="2"/>
  <c r="P29" i="2"/>
  <c r="L29" i="2"/>
  <c r="K29" i="2"/>
  <c r="J29" i="2"/>
  <c r="I29" i="2"/>
  <c r="T27" i="2"/>
  <c r="R27" i="2"/>
  <c r="P27" i="2"/>
  <c r="L27" i="2"/>
  <c r="K27" i="2"/>
  <c r="J27" i="2"/>
  <c r="I27" i="2"/>
  <c r="E27" i="2"/>
  <c r="E12" i="2"/>
  <c r="E11" i="2"/>
  <c r="E10" i="2"/>
  <c r="E9" i="2"/>
  <c r="E8" i="2"/>
  <c r="E29" i="2" s="1"/>
  <c r="E27" i="3" l="1"/>
</calcChain>
</file>

<file path=xl/sharedStrings.xml><?xml version="1.0" encoding="utf-8"?>
<sst xmlns="http://schemas.openxmlformats.org/spreadsheetml/2006/main" count="77" uniqueCount="40">
  <si>
    <t>day</t>
  </si>
  <si>
    <t>exp,mouse</t>
  </si>
  <si>
    <t>1,3</t>
  </si>
  <si>
    <t>1,4</t>
  </si>
  <si>
    <t>1,5</t>
  </si>
  <si>
    <t>2,1</t>
  </si>
  <si>
    <t>2,2</t>
  </si>
  <si>
    <t>2,3</t>
  </si>
  <si>
    <t>2,4</t>
  </si>
  <si>
    <t>3,8</t>
  </si>
  <si>
    <t>2,5</t>
  </si>
  <si>
    <t>2,6</t>
  </si>
  <si>
    <t>3,1</t>
  </si>
  <si>
    <t>3,2</t>
  </si>
  <si>
    <t>3,3</t>
  </si>
  <si>
    <t>3,4</t>
  </si>
  <si>
    <t>3,5</t>
  </si>
  <si>
    <t>3,6</t>
  </si>
  <si>
    <t>3,7</t>
  </si>
  <si>
    <t>3,9</t>
  </si>
  <si>
    <t>2,8</t>
  </si>
  <si>
    <t>2,7</t>
  </si>
  <si>
    <t>1,9</t>
  </si>
  <si>
    <t>1,8</t>
  </si>
  <si>
    <t>1,7</t>
  </si>
  <si>
    <t>1,6</t>
  </si>
  <si>
    <t>3 Experiments:</t>
  </si>
  <si>
    <t>18/27</t>
  </si>
  <si>
    <t>mock (5/8)</t>
  </si>
  <si>
    <t>mock (5/9)</t>
  </si>
  <si>
    <t>mock (8/10)</t>
  </si>
  <si>
    <t>MV (9/10)</t>
  </si>
  <si>
    <t>MV-BiTE (9/10)</t>
  </si>
  <si>
    <t>27/30</t>
  </si>
  <si>
    <t>BiTE (6/10)</t>
  </si>
  <si>
    <t>BiTE (9/10)</t>
  </si>
  <si>
    <t>15/20</t>
  </si>
  <si>
    <t>no ulc/total</t>
  </si>
  <si>
    <t>MV (4/10)</t>
  </si>
  <si>
    <t>13/20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</si>
</sst>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49" fontId="3" fillId="0" borderId="0" xfId="0" applyNumberFormat="1" applyFont="1" applyAlignment="1">
      <alignment horizontal="right"/>
    </xf>
    <xf numFmtId="0" fontId="1" fillId="0" borderId="0" xfId="0" applyFont="1"/>
    <xf numFmtId="0" fontId="0" fillId="0" borderId="1" xfId="0" applyBorder="1"/>
    <xf numFmtId="0" fontId="0" fillId="0" borderId="2" xfId="0" applyBorder="1"/>
    <xf numFmtId="0" fontId="4" fillId="0" borderId="0" xfId="0" applyFont="1"/>
    <xf numFmtId="0" fontId="1" fillId="2" borderId="0" xfId="0" applyFont="1" applyFill="1"/>
    <xf numFmtId="0" fontId="0" fillId="2" borderId="0" xfId="0" applyFill="1"/>
    <xf numFmtId="17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mean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'mock_ulc removed'!$E$6:$T$6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xVal>
          <c:yVal>
            <c:numRef>
              <c:f>'mock_ulc removed'!$E$27:$T$27</c:f>
              <c:numCache>
                <c:formatCode>General</c:formatCode>
                <c:ptCount val="16"/>
                <c:pt idx="0">
                  <c:v>0</c:v>
                </c:pt>
                <c:pt idx="4">
                  <c:v>7.6555000000000009</c:v>
                </c:pt>
                <c:pt idx="5">
                  <c:v>21.796500000000002</c:v>
                </c:pt>
                <c:pt idx="6">
                  <c:v>24.949333333333332</c:v>
                </c:pt>
                <c:pt idx="7">
                  <c:v>27.325416666666666</c:v>
                </c:pt>
                <c:pt idx="11">
                  <c:v>128.9847</c:v>
                </c:pt>
                <c:pt idx="13">
                  <c:v>308.32014705882352</c:v>
                </c:pt>
                <c:pt idx="15">
                  <c:v>584.07126470588219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537-444D-BD74-59A302F804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4092056"/>
        <c:axId val="514084136"/>
      </c:scatterChart>
      <c:valAx>
        <c:axId val="514092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14084136"/>
        <c:crosses val="autoZero"/>
        <c:crossBetween val="midCat"/>
      </c:valAx>
      <c:valAx>
        <c:axId val="514084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14092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1,1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'mock_ulc removed'!$E$6:$T$6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xVal>
          <c:yVal>
            <c:numRef>
              <c:f>'mock_ulc removed'!$E$8:$T$8</c:f>
              <c:numCache>
                <c:formatCode>General</c:formatCode>
                <c:ptCount val="16"/>
                <c:pt idx="0">
                  <c:v>0</c:v>
                </c:pt>
                <c:pt idx="4">
                  <c:v>0</c:v>
                </c:pt>
                <c:pt idx="5">
                  <c:v>4</c:v>
                </c:pt>
                <c:pt idx="11">
                  <c:v>233.28</c:v>
                </c:pt>
                <c:pt idx="13">
                  <c:v>310.67499999999995</c:v>
                </c:pt>
                <c:pt idx="15">
                  <c:v>1032.2559999999999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AE-4634-812D-5275AF33EF79}"/>
            </c:ext>
          </c:extLst>
        </c:ser>
        <c:ser>
          <c:idx val="1"/>
          <c:order val="1"/>
          <c:tx>
            <c:v>1,2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'mock_ulc removed'!$E$6:$T$6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xVal>
          <c:yVal>
            <c:numRef>
              <c:f>'mock_ulc removed'!$E$9:$T$9</c:f>
              <c:numCache>
                <c:formatCode>General</c:formatCode>
                <c:ptCount val="16"/>
                <c:pt idx="0">
                  <c:v>0</c:v>
                </c:pt>
                <c:pt idx="4">
                  <c:v>18.59</c:v>
                </c:pt>
                <c:pt idx="5">
                  <c:v>27</c:v>
                </c:pt>
                <c:pt idx="11">
                  <c:v>124.20000000000002</c:v>
                </c:pt>
                <c:pt idx="13">
                  <c:v>184.49299999999999</c:v>
                </c:pt>
                <c:pt idx="15">
                  <c:v>542.58849999999995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AE-4634-812D-5275AF33EF79}"/>
            </c:ext>
          </c:extLst>
        </c:ser>
        <c:ser>
          <c:idx val="2"/>
          <c:order val="2"/>
          <c:tx>
            <c:v>1,3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'mock_ulc removed'!$E$6:$T$6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xVal>
          <c:yVal>
            <c:numRef>
              <c:f>'mock_ulc removed'!$E$10:$T$10</c:f>
              <c:numCache>
                <c:formatCode>General</c:formatCode>
                <c:ptCount val="16"/>
                <c:pt idx="0">
                  <c:v>0</c:v>
                </c:pt>
                <c:pt idx="4">
                  <c:v>0</c:v>
                </c:pt>
                <c:pt idx="5">
                  <c:v>49</c:v>
                </c:pt>
                <c:pt idx="11">
                  <c:v>92.438500000000019</c:v>
                </c:pt>
                <c:pt idx="13">
                  <c:v>100</c:v>
                </c:pt>
                <c:pt idx="15">
                  <c:v>148.01599999999999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AE-4634-812D-5275AF33EF79}"/>
            </c:ext>
          </c:extLst>
        </c:ser>
        <c:ser>
          <c:idx val="3"/>
          <c:order val="3"/>
          <c:tx>
            <c:v>1,4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'mock_ulc removed'!$E$6:$T$6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xVal>
          <c:yVal>
            <c:numRef>
              <c:f>'mock_ulc removed'!$E$11:$T$11</c:f>
              <c:numCache>
                <c:formatCode>General</c:formatCode>
                <c:ptCount val="16"/>
                <c:pt idx="0">
                  <c:v>0</c:v>
                </c:pt>
                <c:pt idx="4">
                  <c:v>19.6875</c:v>
                </c:pt>
                <c:pt idx="5">
                  <c:v>40</c:v>
                </c:pt>
                <c:pt idx="11">
                  <c:v>146.20500000000001</c:v>
                </c:pt>
                <c:pt idx="13">
                  <c:v>219.96100000000004</c:v>
                </c:pt>
                <c:pt idx="15">
                  <c:v>476.25600000000009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AE-4634-812D-5275AF33EF79}"/>
            </c:ext>
          </c:extLst>
        </c:ser>
        <c:ser>
          <c:idx val="4"/>
          <c:order val="4"/>
          <c:tx>
            <c:v>1,5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'mock_ulc removed'!$E$6:$T$6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xVal>
          <c:yVal>
            <c:numRef>
              <c:f>'mock_ulc removed'!$E$12:$T$12</c:f>
              <c:numCache>
                <c:formatCode>General</c:formatCode>
                <c:ptCount val="16"/>
                <c:pt idx="0">
                  <c:v>0</c:v>
                </c:pt>
                <c:pt idx="4">
                  <c:v>0</c:v>
                </c:pt>
                <c:pt idx="5">
                  <c:v>15.75</c:v>
                </c:pt>
                <c:pt idx="11">
                  <c:v>48.8</c:v>
                </c:pt>
                <c:pt idx="13">
                  <c:v>107.94149999999999</c:v>
                </c:pt>
                <c:pt idx="15">
                  <c:v>242.81100000000001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AE-4634-812D-5275AF33EF79}"/>
            </c:ext>
          </c:extLst>
        </c:ser>
        <c:ser>
          <c:idx val="5"/>
          <c:order val="5"/>
          <c:tx>
            <c:v>2,1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'mock_ulc removed'!$E$6:$T$6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xVal>
          <c:yVal>
            <c:numRef>
              <c:f>'mock_ulc removed'!$E$13:$T$13</c:f>
              <c:numCache>
                <c:formatCode>General</c:formatCode>
                <c:ptCount val="16"/>
                <c:pt idx="0">
                  <c:v>0</c:v>
                </c:pt>
                <c:pt idx="5">
                  <c:v>5.2344999999999997</c:v>
                </c:pt>
                <c:pt idx="6">
                  <c:v>12.506000000000002</c:v>
                </c:pt>
                <c:pt idx="7">
                  <c:v>8.1585000000000001</c:v>
                </c:pt>
                <c:pt idx="13">
                  <c:v>120</c:v>
                </c:pt>
                <c:pt idx="15">
                  <c:v>222.952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AE-4634-812D-5275AF33EF79}"/>
            </c:ext>
          </c:extLst>
        </c:ser>
        <c:ser>
          <c:idx val="6"/>
          <c:order val="6"/>
          <c:tx>
            <c:v>2,2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'mock_ulc removed'!$E$6:$T$6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xVal>
          <c:yVal>
            <c:numRef>
              <c:f>'mock_ulc removed'!$E$14:$T$14</c:f>
              <c:numCache>
                <c:formatCode>General</c:formatCode>
                <c:ptCount val="16"/>
                <c:pt idx="0">
                  <c:v>0</c:v>
                </c:pt>
                <c:pt idx="5">
                  <c:v>17.496000000000002</c:v>
                </c:pt>
                <c:pt idx="6">
                  <c:v>26.655999999999999</c:v>
                </c:pt>
                <c:pt idx="7">
                  <c:v>30.183999999999997</c:v>
                </c:pt>
                <c:pt idx="13">
                  <c:v>331.29800000000006</c:v>
                </c:pt>
                <c:pt idx="15">
                  <c:v>571.04999999999995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AE-4634-812D-5275AF33EF79}"/>
            </c:ext>
          </c:extLst>
        </c:ser>
        <c:ser>
          <c:idx val="7"/>
          <c:order val="7"/>
          <c:tx>
            <c:v>2,3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'mock_ulc removed'!$E$6:$T$6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xVal>
          <c:yVal>
            <c:numRef>
              <c:f>'mock_ulc removed'!$E$15:$T$15</c:f>
              <c:numCache>
                <c:formatCode>General</c:formatCode>
                <c:ptCount val="16"/>
                <c:pt idx="0">
                  <c:v>0</c:v>
                </c:pt>
                <c:pt idx="5">
                  <c:v>17</c:v>
                </c:pt>
                <c:pt idx="6">
                  <c:v>22.646000000000004</c:v>
                </c:pt>
                <c:pt idx="7">
                  <c:v>17.860500000000005</c:v>
                </c:pt>
                <c:pt idx="13">
                  <c:v>218.48899999999998</c:v>
                </c:pt>
                <c:pt idx="15">
                  <c:v>473.84999999999997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AE-4634-812D-5275AF33EF79}"/>
            </c:ext>
          </c:extLst>
        </c:ser>
        <c:ser>
          <c:idx val="8"/>
          <c:order val="8"/>
          <c:tx>
            <c:v>2,4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'mock_ulc removed'!$E$6:$T$6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xVal>
          <c:yVal>
            <c:numRef>
              <c:f>'mock_ulc removed'!$E$16:$T$16</c:f>
              <c:numCache>
                <c:formatCode>General</c:formatCode>
                <c:ptCount val="16"/>
                <c:pt idx="0">
                  <c:v>0</c:v>
                </c:pt>
                <c:pt idx="5">
                  <c:v>12.1945</c:v>
                </c:pt>
                <c:pt idx="6">
                  <c:v>20.411999999999999</c:v>
                </c:pt>
                <c:pt idx="7">
                  <c:v>29.402999999999999</c:v>
                </c:pt>
                <c:pt idx="13">
                  <c:v>428.12550000000005</c:v>
                </c:pt>
                <c:pt idx="15">
                  <c:v>310.0215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CAE-4634-812D-5275AF33EF79}"/>
            </c:ext>
          </c:extLst>
        </c:ser>
        <c:ser>
          <c:idx val="9"/>
          <c:order val="9"/>
          <c:tx>
            <c:v>3,1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'mock_ulc removed'!$E$6:$T$6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xVal>
          <c:yVal>
            <c:numRef>
              <c:f>'mock_ulc removed'!$E$17:$T$17</c:f>
              <c:numCache>
                <c:formatCode>General</c:formatCode>
                <c:ptCount val="16"/>
                <c:pt idx="0">
                  <c:v>0</c:v>
                </c:pt>
                <c:pt idx="5">
                  <c:v>32.768000000000008</c:v>
                </c:pt>
                <c:pt idx="6">
                  <c:v>9.072000000000001</c:v>
                </c:pt>
                <c:pt idx="7">
                  <c:v>15.263999999999998</c:v>
                </c:pt>
                <c:pt idx="13">
                  <c:v>159.93599999999995</c:v>
                </c:pt>
                <c:pt idx="15">
                  <c:v>279.75200000000001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CAE-4634-812D-5275AF33EF79}"/>
            </c:ext>
          </c:extLst>
        </c:ser>
        <c:ser>
          <c:idx val="10"/>
          <c:order val="10"/>
          <c:tx>
            <c:v>3,2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'mock_ulc removed'!$E$6:$T$6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xVal>
          <c:yVal>
            <c:numRef>
              <c:f>'mock_ulc removed'!$E$18:$T$18</c:f>
              <c:numCache>
                <c:formatCode>General</c:formatCode>
                <c:ptCount val="16"/>
                <c:pt idx="0">
                  <c:v>0</c:v>
                </c:pt>
                <c:pt idx="5">
                  <c:v>34.225000000000001</c:v>
                </c:pt>
                <c:pt idx="6">
                  <c:v>44</c:v>
                </c:pt>
                <c:pt idx="7">
                  <c:v>35.392499999999998</c:v>
                </c:pt>
                <c:pt idx="13">
                  <c:v>403.43999999999994</c:v>
                </c:pt>
                <c:pt idx="15">
                  <c:v>826.28099999999984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CAE-4634-812D-5275AF33EF79}"/>
            </c:ext>
          </c:extLst>
        </c:ser>
        <c:ser>
          <c:idx val="11"/>
          <c:order val="11"/>
          <c:tx>
            <c:v>3,3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'mock_ulc removed'!$E$6:$T$6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xVal>
          <c:yVal>
            <c:numRef>
              <c:f>'mock_ulc removed'!$E$19:$T$19</c:f>
              <c:numCache>
                <c:formatCode>General</c:formatCode>
                <c:ptCount val="16"/>
                <c:pt idx="0">
                  <c:v>0</c:v>
                </c:pt>
                <c:pt idx="5">
                  <c:v>19.603999999999999</c:v>
                </c:pt>
                <c:pt idx="6">
                  <c:v>31.5</c:v>
                </c:pt>
                <c:pt idx="7">
                  <c:v>25.515000000000004</c:v>
                </c:pt>
                <c:pt idx="13">
                  <c:v>368</c:v>
                </c:pt>
                <c:pt idx="15">
                  <c:v>670.29750000000013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9CAE-4634-812D-5275AF33EF79}"/>
            </c:ext>
          </c:extLst>
        </c:ser>
        <c:ser>
          <c:idx val="12"/>
          <c:order val="12"/>
          <c:tx>
            <c:v>3,4</c:v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'mock_ulc removed'!$E$6:$T$6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xVal>
          <c:yVal>
            <c:numRef>
              <c:f>'mock_ulc removed'!$E$20:$T$20</c:f>
              <c:numCache>
                <c:formatCode>General</c:formatCode>
                <c:ptCount val="16"/>
                <c:pt idx="0">
                  <c:v>0</c:v>
                </c:pt>
                <c:pt idx="5">
                  <c:v>15.548</c:v>
                </c:pt>
                <c:pt idx="6">
                  <c:v>32.367999999999995</c:v>
                </c:pt>
                <c:pt idx="7">
                  <c:v>38.232000000000006</c:v>
                </c:pt>
                <c:pt idx="13">
                  <c:v>412.77600000000001</c:v>
                </c:pt>
                <c:pt idx="15">
                  <c:v>409.10100000000006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9CAE-4634-812D-5275AF33EF79}"/>
            </c:ext>
          </c:extLst>
        </c:ser>
        <c:ser>
          <c:idx val="13"/>
          <c:order val="13"/>
          <c:tx>
            <c:v>3,5</c:v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'mock_ulc removed'!$E$6:$T$6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xVal>
          <c:yVal>
            <c:numRef>
              <c:f>'mock_ulc removed'!$E$21:$T$21</c:f>
              <c:numCache>
                <c:formatCode>General</c:formatCode>
                <c:ptCount val="16"/>
                <c:pt idx="0">
                  <c:v>0</c:v>
                </c:pt>
                <c:pt idx="5">
                  <c:v>14.112</c:v>
                </c:pt>
                <c:pt idx="6">
                  <c:v>30.055999999999997</c:v>
                </c:pt>
                <c:pt idx="7">
                  <c:v>28.160000000000004</c:v>
                </c:pt>
                <c:pt idx="13">
                  <c:v>505.14099999999996</c:v>
                </c:pt>
                <c:pt idx="15">
                  <c:v>1085.1659999999999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9CAE-4634-812D-5275AF33EF79}"/>
            </c:ext>
          </c:extLst>
        </c:ser>
        <c:ser>
          <c:idx val="14"/>
          <c:order val="14"/>
          <c:tx>
            <c:v>3,6</c:v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'mock_ulc removed'!$E$6:$T$6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xVal>
          <c:yVal>
            <c:numRef>
              <c:f>'mock_ulc removed'!$E$22:$T$22</c:f>
              <c:numCache>
                <c:formatCode>General</c:formatCode>
                <c:ptCount val="16"/>
                <c:pt idx="0">
                  <c:v>0</c:v>
                </c:pt>
                <c:pt idx="5">
                  <c:v>14.895999999999997</c:v>
                </c:pt>
                <c:pt idx="6">
                  <c:v>21.632000000000001</c:v>
                </c:pt>
                <c:pt idx="7">
                  <c:v>25.725000000000001</c:v>
                </c:pt>
                <c:pt idx="13">
                  <c:v>257.37200000000001</c:v>
                </c:pt>
                <c:pt idx="15">
                  <c:v>501.00049999999999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9CAE-4634-812D-5275AF33EF79}"/>
            </c:ext>
          </c:extLst>
        </c:ser>
        <c:ser>
          <c:idx val="15"/>
          <c:order val="15"/>
          <c:tx>
            <c:v>3,7</c:v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'mock_ulc removed'!$E$6:$T$6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xVal>
          <c:yVal>
            <c:numRef>
              <c:f>'mock_ulc removed'!$E$23:$T$23</c:f>
              <c:numCache>
                <c:formatCode>General</c:formatCode>
                <c:ptCount val="16"/>
                <c:pt idx="0">
                  <c:v>0</c:v>
                </c:pt>
                <c:pt idx="5">
                  <c:v>28.9</c:v>
                </c:pt>
                <c:pt idx="6">
                  <c:v>28.671999999999997</c:v>
                </c:pt>
                <c:pt idx="7">
                  <c:v>41.7545</c:v>
                </c:pt>
                <c:pt idx="13">
                  <c:v>604.51299999999992</c:v>
                </c:pt>
                <c:pt idx="15">
                  <c:v>1047.058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9CAE-4634-812D-5275AF33EF79}"/>
            </c:ext>
          </c:extLst>
        </c:ser>
        <c:ser>
          <c:idx val="16"/>
          <c:order val="16"/>
          <c:tx>
            <c:v>3,8</c:v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'mock_ulc removed'!$E$6:$T$6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xVal>
          <c:yVal>
            <c:numRef>
              <c:f>'mock_ulc removed'!$E$24:$T$24</c:f>
              <c:numCache>
                <c:formatCode>General</c:formatCode>
                <c:ptCount val="16"/>
                <c:pt idx="0">
                  <c:v>0</c:v>
                </c:pt>
                <c:pt idx="5">
                  <c:v>22.8125</c:v>
                </c:pt>
                <c:pt idx="6">
                  <c:v>19.871999999999996</c:v>
                </c:pt>
                <c:pt idx="7">
                  <c:v>32.256</c:v>
                </c:pt>
                <c:pt idx="13">
                  <c:v>509.28149999999999</c:v>
                </c:pt>
                <c:pt idx="15">
                  <c:v>1090.7545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9CAE-4634-812D-5275AF33E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974528"/>
        <c:axId val="576977048"/>
      </c:scatterChart>
      <c:valAx>
        <c:axId val="576974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76977048"/>
        <c:crosses val="autoZero"/>
        <c:crossBetween val="midCat"/>
      </c:valAx>
      <c:valAx>
        <c:axId val="576977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76974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mean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'BiTE_ulc removed'!$E$6:$T$6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xVal>
          <c:yVal>
            <c:numRef>
              <c:f>'BiTE_ulc removed'!$E$27:$T$27</c:f>
              <c:numCache>
                <c:formatCode>General</c:formatCode>
                <c:ptCount val="16"/>
                <c:pt idx="0">
                  <c:v>0</c:v>
                </c:pt>
                <c:pt idx="5">
                  <c:v>20.477166666666669</c:v>
                </c:pt>
                <c:pt idx="6">
                  <c:v>22.564033333333334</c:v>
                </c:pt>
                <c:pt idx="7">
                  <c:v>28.961266666666667</c:v>
                </c:pt>
                <c:pt idx="13">
                  <c:v>228.29399999999998</c:v>
                </c:pt>
                <c:pt idx="15">
                  <c:v>465.15663333333328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0D7-4B7A-B7BE-EE7AF37BB6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4092056"/>
        <c:axId val="514084136"/>
      </c:scatterChart>
      <c:valAx>
        <c:axId val="514092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14084136"/>
        <c:crosses val="autoZero"/>
        <c:crossBetween val="midCat"/>
      </c:valAx>
      <c:valAx>
        <c:axId val="514084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14092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'BiTE_ulc removed'!$C$8</c:f>
              <c:strCache>
                <c:ptCount val="1"/>
                <c:pt idx="0">
                  <c:v>2,1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'BiTE_ulc removed'!$E$6:$T$6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xVal>
          <c:yVal>
            <c:numRef>
              <c:f>'BiTE_ulc removed'!$E$8:$T$8</c:f>
              <c:numCache>
                <c:formatCode>General</c:formatCode>
                <c:ptCount val="16"/>
                <c:pt idx="0">
                  <c:v>0</c:v>
                </c:pt>
                <c:pt idx="5">
                  <c:v>19.603999999999999</c:v>
                </c:pt>
                <c:pt idx="6">
                  <c:v>20.617999999999999</c:v>
                </c:pt>
                <c:pt idx="7">
                  <c:v>28.349999999999998</c:v>
                </c:pt>
                <c:pt idx="13">
                  <c:v>298.08</c:v>
                </c:pt>
                <c:pt idx="15">
                  <c:v>530.54999999999995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4AB-4E53-BEDE-B576CBCFD586}"/>
            </c:ext>
          </c:extLst>
        </c:ser>
        <c:ser>
          <c:idx val="1"/>
          <c:order val="1"/>
          <c:tx>
            <c:strRef>
              <c:f>'BiTE_ulc removed'!$C$9</c:f>
              <c:strCache>
                <c:ptCount val="1"/>
                <c:pt idx="0">
                  <c:v>2,2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'BiTE_ulc removed'!$E$6:$T$6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xVal>
          <c:yVal>
            <c:numRef>
              <c:f>'BiTE_ulc removed'!$E$9:$T$9</c:f>
              <c:numCache>
                <c:formatCode>General</c:formatCode>
                <c:ptCount val="16"/>
                <c:pt idx="0">
                  <c:v>0</c:v>
                </c:pt>
                <c:pt idx="5">
                  <c:v>18.252000000000002</c:v>
                </c:pt>
                <c:pt idx="6">
                  <c:v>22.599000000000004</c:v>
                </c:pt>
                <c:pt idx="7">
                  <c:v>25.479999999999997</c:v>
                </c:pt>
                <c:pt idx="13">
                  <c:v>245</c:v>
                </c:pt>
                <c:pt idx="15">
                  <c:v>400.07799999999997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4AB-4E53-BEDE-B576CBCFD586}"/>
            </c:ext>
          </c:extLst>
        </c:ser>
        <c:ser>
          <c:idx val="2"/>
          <c:order val="2"/>
          <c:tx>
            <c:strRef>
              <c:f>'BiTE_ulc removed'!$C$10</c:f>
              <c:strCache>
                <c:ptCount val="1"/>
                <c:pt idx="0">
                  <c:v>2,3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'BiTE_ulc removed'!$E$6:$T$6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xVal>
          <c:yVal>
            <c:numRef>
              <c:f>'BiTE_ulc removed'!$E$10:$T$10</c:f>
              <c:numCache>
                <c:formatCode>General</c:formatCode>
                <c:ptCount val="16"/>
                <c:pt idx="0">
                  <c:v>0</c:v>
                </c:pt>
                <c:pt idx="5">
                  <c:v>14.196000000000003</c:v>
                </c:pt>
                <c:pt idx="6">
                  <c:v>22.5</c:v>
                </c:pt>
                <c:pt idx="7">
                  <c:v>32</c:v>
                </c:pt>
                <c:pt idx="13">
                  <c:v>58.824500000000015</c:v>
                </c:pt>
                <c:pt idx="15">
                  <c:v>40.572000000000003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4AB-4E53-BEDE-B576CBCFD586}"/>
            </c:ext>
          </c:extLst>
        </c:ser>
        <c:ser>
          <c:idx val="3"/>
          <c:order val="3"/>
          <c:tx>
            <c:strRef>
              <c:f>'BiTE_ulc removed'!$C$11</c:f>
              <c:strCache>
                <c:ptCount val="1"/>
                <c:pt idx="0">
                  <c:v>2,4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'BiTE_ulc removed'!$E$6:$T$6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xVal>
          <c:yVal>
            <c:numRef>
              <c:f>'BiTE_ulc removed'!$E$11:$T$11</c:f>
              <c:numCache>
                <c:formatCode>General</c:formatCode>
                <c:ptCount val="16"/>
                <c:pt idx="0">
                  <c:v>0</c:v>
                </c:pt>
                <c:pt idx="5">
                  <c:v>5.7759999999999998</c:v>
                </c:pt>
                <c:pt idx="6">
                  <c:v>8.6399999999999988</c:v>
                </c:pt>
                <c:pt idx="7">
                  <c:v>13.520000000000001</c:v>
                </c:pt>
                <c:pt idx="13">
                  <c:v>375.45050000000009</c:v>
                </c:pt>
                <c:pt idx="15">
                  <c:v>702.25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4AB-4E53-BEDE-B576CBCFD586}"/>
            </c:ext>
          </c:extLst>
        </c:ser>
        <c:ser>
          <c:idx val="4"/>
          <c:order val="4"/>
          <c:tx>
            <c:strRef>
              <c:f>'BiTE_ulc removed'!$C$12</c:f>
              <c:strCache>
                <c:ptCount val="1"/>
                <c:pt idx="0">
                  <c:v>2,5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'BiTE_ulc removed'!$E$6:$T$6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xVal>
          <c:yVal>
            <c:numRef>
              <c:f>'BiTE_ulc removed'!$E$12:$T$12</c:f>
              <c:numCache>
                <c:formatCode>General</c:formatCode>
                <c:ptCount val="16"/>
                <c:pt idx="0">
                  <c:v>0</c:v>
                </c:pt>
                <c:pt idx="5">
                  <c:v>9.234</c:v>
                </c:pt>
                <c:pt idx="6">
                  <c:v>9.536999999999999</c:v>
                </c:pt>
                <c:pt idx="7">
                  <c:v>21.970000000000002</c:v>
                </c:pt>
                <c:pt idx="13">
                  <c:v>16.456000000000003</c:v>
                </c:pt>
                <c:pt idx="15">
                  <c:v>16.096500000000002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4AB-4E53-BEDE-B576CBCFD586}"/>
            </c:ext>
          </c:extLst>
        </c:ser>
        <c:ser>
          <c:idx val="5"/>
          <c:order val="5"/>
          <c:tx>
            <c:strRef>
              <c:f>'BiTE_ulc removed'!$C$13</c:f>
              <c:strCache>
                <c:ptCount val="1"/>
                <c:pt idx="0">
                  <c:v>2,6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'BiTE_ulc removed'!$E$6:$T$6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xVal>
          <c:yVal>
            <c:numRef>
              <c:f>'BiTE_ulc removed'!$E$13:$T$13</c:f>
              <c:numCache>
                <c:formatCode>General</c:formatCode>
                <c:ptCount val="16"/>
                <c:pt idx="0">
                  <c:v>0</c:v>
                </c:pt>
                <c:pt idx="5">
                  <c:v>4.056</c:v>
                </c:pt>
                <c:pt idx="6">
                  <c:v>17.567999999999998</c:v>
                </c:pt>
                <c:pt idx="7">
                  <c:v>27.449999999999996</c:v>
                </c:pt>
                <c:pt idx="13">
                  <c:v>450.50799999999992</c:v>
                </c:pt>
                <c:pt idx="15">
                  <c:v>827.11799999999982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4AB-4E53-BEDE-B576CBCFD586}"/>
            </c:ext>
          </c:extLst>
        </c:ser>
        <c:ser>
          <c:idx val="6"/>
          <c:order val="6"/>
          <c:tx>
            <c:strRef>
              <c:f>'BiTE_ulc removed'!$C$14</c:f>
              <c:strCache>
                <c:ptCount val="1"/>
                <c:pt idx="0">
                  <c:v>3,1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'BiTE_ulc removed'!$E$6:$T$6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xVal>
          <c:yVal>
            <c:numRef>
              <c:f>'BiTE_ulc removed'!$E$14:$T$14</c:f>
              <c:numCache>
                <c:formatCode>General</c:formatCode>
                <c:ptCount val="16"/>
                <c:pt idx="0">
                  <c:v>0</c:v>
                </c:pt>
                <c:pt idx="5">
                  <c:v>31.212</c:v>
                </c:pt>
                <c:pt idx="6">
                  <c:v>15.9375</c:v>
                </c:pt>
                <c:pt idx="7">
                  <c:v>27.900000000000002</c:v>
                </c:pt>
                <c:pt idx="13">
                  <c:v>318.291</c:v>
                </c:pt>
                <c:pt idx="15">
                  <c:v>425.26999999999992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4AB-4E53-BEDE-B576CBCFD586}"/>
            </c:ext>
          </c:extLst>
        </c:ser>
        <c:ser>
          <c:idx val="7"/>
          <c:order val="7"/>
          <c:tx>
            <c:strRef>
              <c:f>'BiTE_ulc removed'!$C$15</c:f>
              <c:strCache>
                <c:ptCount val="1"/>
                <c:pt idx="0">
                  <c:v>3,2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'BiTE_ulc removed'!$E$6:$T$6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xVal>
          <c:yVal>
            <c:numRef>
              <c:f>'BiTE_ulc removed'!$E$15:$T$15</c:f>
              <c:numCache>
                <c:formatCode>General</c:formatCode>
                <c:ptCount val="16"/>
                <c:pt idx="0">
                  <c:v>0</c:v>
                </c:pt>
                <c:pt idx="5">
                  <c:v>12.826000000000001</c:v>
                </c:pt>
                <c:pt idx="6">
                  <c:v>24.695999999999994</c:v>
                </c:pt>
                <c:pt idx="7">
                  <c:v>30.271500000000003</c:v>
                </c:pt>
                <c:pt idx="13">
                  <c:v>337.01400000000007</c:v>
                </c:pt>
                <c:pt idx="15">
                  <c:v>1388.9059999999999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4AB-4E53-BEDE-B576CBCFD586}"/>
            </c:ext>
          </c:extLst>
        </c:ser>
        <c:ser>
          <c:idx val="8"/>
          <c:order val="8"/>
          <c:tx>
            <c:strRef>
              <c:f>'BiTE_ulc removed'!$C$16</c:f>
              <c:strCache>
                <c:ptCount val="1"/>
                <c:pt idx="0">
                  <c:v>3,3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'BiTE_ulc removed'!$E$6:$T$6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xVal>
          <c:yVal>
            <c:numRef>
              <c:f>'BiTE_ulc removed'!$E$16:$T$16</c:f>
              <c:numCache>
                <c:formatCode>General</c:formatCode>
                <c:ptCount val="16"/>
                <c:pt idx="0">
                  <c:v>0</c:v>
                </c:pt>
                <c:pt idx="5">
                  <c:v>20.9375</c:v>
                </c:pt>
                <c:pt idx="6">
                  <c:v>20.625</c:v>
                </c:pt>
                <c:pt idx="7">
                  <c:v>24.336000000000006</c:v>
                </c:pt>
                <c:pt idx="13">
                  <c:v>266.61600000000004</c:v>
                </c:pt>
                <c:pt idx="15">
                  <c:v>582.19350000000009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4AB-4E53-BEDE-B576CBCFD586}"/>
            </c:ext>
          </c:extLst>
        </c:ser>
        <c:ser>
          <c:idx val="9"/>
          <c:order val="9"/>
          <c:tx>
            <c:strRef>
              <c:f>'BiTE_ulc removed'!$C$17</c:f>
              <c:strCache>
                <c:ptCount val="1"/>
                <c:pt idx="0">
                  <c:v>3,4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'BiTE_ulc removed'!$E$6:$T$6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xVal>
          <c:yVal>
            <c:numRef>
              <c:f>'BiTE_ulc removed'!$E$17:$T$17</c:f>
              <c:numCache>
                <c:formatCode>General</c:formatCode>
                <c:ptCount val="16"/>
                <c:pt idx="0">
                  <c:v>0</c:v>
                </c:pt>
                <c:pt idx="5">
                  <c:v>27.864000000000001</c:v>
                </c:pt>
                <c:pt idx="6">
                  <c:v>32.4</c:v>
                </c:pt>
                <c:pt idx="7">
                  <c:v>41.602499999999992</c:v>
                </c:pt>
                <c:pt idx="13">
                  <c:v>99.094499999999996</c:v>
                </c:pt>
                <c:pt idx="15">
                  <c:v>256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4AB-4E53-BEDE-B576CBCFD586}"/>
            </c:ext>
          </c:extLst>
        </c:ser>
        <c:ser>
          <c:idx val="10"/>
          <c:order val="10"/>
          <c:tx>
            <c:strRef>
              <c:f>'BiTE_ulc removed'!$C$18</c:f>
              <c:strCache>
                <c:ptCount val="1"/>
                <c:pt idx="0">
                  <c:v>3,5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'BiTE_ulc removed'!$E$6:$T$6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xVal>
          <c:yVal>
            <c:numRef>
              <c:f>'BiTE_ulc removed'!$E$18:$T$18</c:f>
              <c:numCache>
                <c:formatCode>General</c:formatCode>
                <c:ptCount val="16"/>
                <c:pt idx="0">
                  <c:v>0</c:v>
                </c:pt>
                <c:pt idx="5">
                  <c:v>21.505500000000005</c:v>
                </c:pt>
                <c:pt idx="6">
                  <c:v>26.550000000000004</c:v>
                </c:pt>
                <c:pt idx="7">
                  <c:v>35.257999999999996</c:v>
                </c:pt>
                <c:pt idx="13">
                  <c:v>261.85500000000002</c:v>
                </c:pt>
                <c:pt idx="15">
                  <c:v>627.35599999999999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4AB-4E53-BEDE-B576CBCFD586}"/>
            </c:ext>
          </c:extLst>
        </c:ser>
        <c:ser>
          <c:idx val="11"/>
          <c:order val="11"/>
          <c:tx>
            <c:strRef>
              <c:f>'BiTE_ulc removed'!$C$19</c:f>
              <c:strCache>
                <c:ptCount val="1"/>
                <c:pt idx="0">
                  <c:v>3,6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'BiTE_ulc removed'!$E$6:$T$6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xVal>
          <c:yVal>
            <c:numRef>
              <c:f>'BiTE_ulc removed'!$E$19:$T$19</c:f>
              <c:numCache>
                <c:formatCode>General</c:formatCode>
                <c:ptCount val="16"/>
                <c:pt idx="0">
                  <c:v>0</c:v>
                </c:pt>
                <c:pt idx="5">
                  <c:v>23.968500000000002</c:v>
                </c:pt>
                <c:pt idx="6">
                  <c:v>26.908000000000001</c:v>
                </c:pt>
                <c:pt idx="7">
                  <c:v>19.683000000000003</c:v>
                </c:pt>
                <c:pt idx="13">
                  <c:v>28.858499999999996</c:v>
                </c:pt>
                <c:pt idx="15">
                  <c:v>36.137500000000003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94AB-4E53-BEDE-B576CBCFD586}"/>
            </c:ext>
          </c:extLst>
        </c:ser>
        <c:ser>
          <c:idx val="12"/>
          <c:order val="12"/>
          <c:tx>
            <c:strRef>
              <c:f>'BiTE_ulc removed'!$C$20</c:f>
              <c:strCache>
                <c:ptCount val="1"/>
                <c:pt idx="0">
                  <c:v>3,7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'BiTE_ulc removed'!$E$6:$T$6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xVal>
          <c:yVal>
            <c:numRef>
              <c:f>'BiTE_ulc removed'!$E$20:$T$20</c:f>
              <c:numCache>
                <c:formatCode>General</c:formatCode>
                <c:ptCount val="16"/>
                <c:pt idx="0">
                  <c:v>0</c:v>
                </c:pt>
                <c:pt idx="5">
                  <c:v>14.036000000000001</c:v>
                </c:pt>
                <c:pt idx="6">
                  <c:v>22.599000000000004</c:v>
                </c:pt>
                <c:pt idx="7">
                  <c:v>30.575999999999997</c:v>
                </c:pt>
                <c:pt idx="13">
                  <c:v>162.922</c:v>
                </c:pt>
                <c:pt idx="15">
                  <c:v>320.95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94AB-4E53-BEDE-B576CBCFD586}"/>
            </c:ext>
          </c:extLst>
        </c:ser>
        <c:ser>
          <c:idx val="13"/>
          <c:order val="13"/>
          <c:tx>
            <c:strRef>
              <c:f>'BiTE_ulc removed'!$C$21</c:f>
              <c:strCache>
                <c:ptCount val="1"/>
                <c:pt idx="0">
                  <c:v>3,8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'BiTE_ulc removed'!$E$6:$T$6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xVal>
          <c:yVal>
            <c:numRef>
              <c:f>'BiTE_ulc removed'!$E$21:$T$21</c:f>
              <c:numCache>
                <c:formatCode>General</c:formatCode>
                <c:ptCount val="16"/>
                <c:pt idx="0">
                  <c:v>0</c:v>
                </c:pt>
                <c:pt idx="5">
                  <c:v>51.2</c:v>
                </c:pt>
                <c:pt idx="6">
                  <c:v>33.759</c:v>
                </c:pt>
                <c:pt idx="7">
                  <c:v>39.200000000000003</c:v>
                </c:pt>
                <c:pt idx="13">
                  <c:v>242.59199999999998</c:v>
                </c:pt>
                <c:pt idx="15">
                  <c:v>343.67199999999997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94AB-4E53-BEDE-B576CBCFD586}"/>
            </c:ext>
          </c:extLst>
        </c:ser>
        <c:ser>
          <c:idx val="14"/>
          <c:order val="14"/>
          <c:tx>
            <c:strRef>
              <c:f>'BiTE_ulc removed'!$C$22</c:f>
              <c:strCache>
                <c:ptCount val="1"/>
                <c:pt idx="0">
                  <c:v>3,9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'BiTE_ulc removed'!$E$6:$T$6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xVal>
          <c:yVal>
            <c:numRef>
              <c:f>'BiTE_ulc removed'!$E$22:$T$22</c:f>
              <c:numCache>
                <c:formatCode>General</c:formatCode>
                <c:ptCount val="16"/>
                <c:pt idx="0">
                  <c:v>0</c:v>
                </c:pt>
                <c:pt idx="5">
                  <c:v>32.489999999999995</c:v>
                </c:pt>
                <c:pt idx="6">
                  <c:v>33.523999999999994</c:v>
                </c:pt>
                <c:pt idx="7">
                  <c:v>36.821999999999996</c:v>
                </c:pt>
                <c:pt idx="13">
                  <c:v>262.84800000000001</c:v>
                </c:pt>
                <c:pt idx="15">
                  <c:v>480.20000000000005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94AB-4E53-BEDE-B576CBCFD5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974528"/>
        <c:axId val="576977048"/>
      </c:scatterChart>
      <c:valAx>
        <c:axId val="576974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76977048"/>
        <c:crosses val="autoZero"/>
        <c:crossBetween val="midCat"/>
      </c:valAx>
      <c:valAx>
        <c:axId val="576977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76974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'MV_ulc removed'!$E$6:$V$6</c:f>
              <c:numCache>
                <c:formatCode>General</c:formatCode>
                <c:ptCount val="1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</c:numCache>
            </c:numRef>
          </c:xVal>
          <c:yVal>
            <c:numRef>
              <c:f>'MV_ulc removed'!$E$27:$V$27</c:f>
              <c:numCache>
                <c:formatCode>General</c:formatCode>
                <c:ptCount val="18"/>
                <c:pt idx="0">
                  <c:v>0</c:v>
                </c:pt>
                <c:pt idx="4">
                  <c:v>7.1693888888888893</c:v>
                </c:pt>
                <c:pt idx="5">
                  <c:v>23.448388888888889</c:v>
                </c:pt>
                <c:pt idx="6">
                  <c:v>18.780722222222224</c:v>
                </c:pt>
                <c:pt idx="7">
                  <c:v>30.378722222222223</c:v>
                </c:pt>
                <c:pt idx="11">
                  <c:v>49.492777777777775</c:v>
                </c:pt>
                <c:pt idx="13">
                  <c:v>73.057111111111112</c:v>
                </c:pt>
                <c:pt idx="15">
                  <c:v>92.051888888888882</c:v>
                </c:pt>
                <c:pt idx="17">
                  <c:v>213.90488888888888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D24-45DD-9660-3C8CB7ED23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4092056"/>
        <c:axId val="514084136"/>
      </c:scatterChart>
      <c:valAx>
        <c:axId val="514092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14084136"/>
        <c:crosses val="autoZero"/>
        <c:crossBetween val="midCat"/>
      </c:valAx>
      <c:valAx>
        <c:axId val="514084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14092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1,1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'MV_ulc removed'!$E$6:$T$6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xVal>
          <c:yVal>
            <c:numRef>
              <c:f>'MV_ulc removed'!$E$8:$T$8</c:f>
              <c:numCache>
                <c:formatCode>General</c:formatCode>
                <c:ptCount val="16"/>
                <c:pt idx="0">
                  <c:v>0</c:v>
                </c:pt>
                <c:pt idx="4">
                  <c:v>0</c:v>
                </c:pt>
                <c:pt idx="5">
                  <c:v>12</c:v>
                </c:pt>
                <c:pt idx="11">
                  <c:v>27.831999999999997</c:v>
                </c:pt>
                <c:pt idx="13">
                  <c:v>24.786000000000001</c:v>
                </c:pt>
                <c:pt idx="15">
                  <c:v>27.332499999999996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211-46D1-ACC5-999EB8E5B1C2}"/>
            </c:ext>
          </c:extLst>
        </c:ser>
        <c:ser>
          <c:idx val="1"/>
          <c:order val="1"/>
          <c:tx>
            <c:v>1,2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'MV_ulc removed'!$E$6:$T$6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xVal>
          <c:yVal>
            <c:numRef>
              <c:f>'MV_ulc removed'!$E$9:$T$9</c:f>
              <c:numCache>
                <c:formatCode>General</c:formatCode>
                <c:ptCount val="16"/>
                <c:pt idx="0">
                  <c:v>0</c:v>
                </c:pt>
                <c:pt idx="4">
                  <c:v>0</c:v>
                </c:pt>
                <c:pt idx="5">
                  <c:v>15.75</c:v>
                </c:pt>
                <c:pt idx="11">
                  <c:v>37.647500000000008</c:v>
                </c:pt>
                <c:pt idx="13">
                  <c:v>26.568000000000001</c:v>
                </c:pt>
                <c:pt idx="15">
                  <c:v>25.725000000000001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211-46D1-ACC5-999EB8E5B1C2}"/>
            </c:ext>
          </c:extLst>
        </c:ser>
        <c:ser>
          <c:idx val="2"/>
          <c:order val="2"/>
          <c:tx>
            <c:v>1,3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'MV_ulc removed'!$E$6:$T$6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xVal>
          <c:yVal>
            <c:numRef>
              <c:f>'MV_ulc removed'!$E$10:$T$10</c:f>
              <c:numCache>
                <c:formatCode>General</c:formatCode>
                <c:ptCount val="16"/>
                <c:pt idx="0">
                  <c:v>0</c:v>
                </c:pt>
                <c:pt idx="4">
                  <c:v>0</c:v>
                </c:pt>
                <c:pt idx="5">
                  <c:v>24.5</c:v>
                </c:pt>
                <c:pt idx="11">
                  <c:v>46.746000000000002</c:v>
                </c:pt>
                <c:pt idx="13">
                  <c:v>50.429999999999993</c:v>
                </c:pt>
                <c:pt idx="15">
                  <c:v>98.3125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211-46D1-ACC5-999EB8E5B1C2}"/>
            </c:ext>
          </c:extLst>
        </c:ser>
        <c:ser>
          <c:idx val="3"/>
          <c:order val="3"/>
          <c:tx>
            <c:v>1,4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'MV_ulc removed'!$E$6:$T$6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xVal>
          <c:yVal>
            <c:numRef>
              <c:f>'MV_ulc removed'!$E$11:$T$11</c:f>
              <c:numCache>
                <c:formatCode>General</c:formatCode>
                <c:ptCount val="16"/>
                <c:pt idx="0">
                  <c:v>0</c:v>
                </c:pt>
                <c:pt idx="4">
                  <c:v>35.594000000000008</c:v>
                </c:pt>
                <c:pt idx="5">
                  <c:v>75</c:v>
                </c:pt>
                <c:pt idx="11">
                  <c:v>79.233000000000018</c:v>
                </c:pt>
                <c:pt idx="13">
                  <c:v>153.60000000000002</c:v>
                </c:pt>
                <c:pt idx="15">
                  <c:v>271.48350000000005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211-46D1-ACC5-999EB8E5B1C2}"/>
            </c:ext>
          </c:extLst>
        </c:ser>
        <c:ser>
          <c:idx val="4"/>
          <c:order val="4"/>
          <c:tx>
            <c:v>1,5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'MV_ulc removed'!$E$6:$T$6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xVal>
          <c:yVal>
            <c:numRef>
              <c:f>'MV_ulc removed'!$E$12:$T$12</c:f>
              <c:numCache>
                <c:formatCode>General</c:formatCode>
                <c:ptCount val="16"/>
                <c:pt idx="0">
                  <c:v>0</c:v>
                </c:pt>
                <c:pt idx="4">
                  <c:v>11.010499999999997</c:v>
                </c:pt>
                <c:pt idx="5">
                  <c:v>17.1875</c:v>
                </c:pt>
                <c:pt idx="11">
                  <c:v>65.268000000000001</c:v>
                </c:pt>
                <c:pt idx="13">
                  <c:v>26.112000000000002</c:v>
                </c:pt>
                <c:pt idx="15">
                  <c:v>6.2920000000000016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211-46D1-ACC5-999EB8E5B1C2}"/>
            </c:ext>
          </c:extLst>
        </c:ser>
        <c:ser>
          <c:idx val="5"/>
          <c:order val="5"/>
          <c:tx>
            <c:v>1,6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'MV_ulc removed'!$E$6:$T$6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xVal>
          <c:yVal>
            <c:numRef>
              <c:f>'MV_ulc removed'!$E$13:$T$13</c:f>
              <c:numCache>
                <c:formatCode>General</c:formatCode>
                <c:ptCount val="16"/>
                <c:pt idx="0">
                  <c:v>0</c:v>
                </c:pt>
                <c:pt idx="4">
                  <c:v>17.920000000000002</c:v>
                </c:pt>
                <c:pt idx="5">
                  <c:v>18</c:v>
                </c:pt>
                <c:pt idx="11">
                  <c:v>38.024999999999999</c:v>
                </c:pt>
                <c:pt idx="13">
                  <c:v>38.808000000000007</c:v>
                </c:pt>
                <c:pt idx="15">
                  <c:v>27.216000000000001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211-46D1-ACC5-999EB8E5B1C2}"/>
            </c:ext>
          </c:extLst>
        </c:ser>
        <c:ser>
          <c:idx val="6"/>
          <c:order val="6"/>
          <c:tx>
            <c:v>1,7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'MV_ulc removed'!$E$6:$T$6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xVal>
          <c:yVal>
            <c:numRef>
              <c:f>'MV_ulc removed'!$E$14:$T$14</c:f>
              <c:numCache>
                <c:formatCode>General</c:formatCode>
                <c:ptCount val="16"/>
                <c:pt idx="0">
                  <c:v>0</c:v>
                </c:pt>
                <c:pt idx="4">
                  <c:v>0</c:v>
                </c:pt>
                <c:pt idx="5">
                  <c:v>36.75</c:v>
                </c:pt>
                <c:pt idx="11">
                  <c:v>40.823999999999998</c:v>
                </c:pt>
                <c:pt idx="13">
                  <c:v>43.808000000000007</c:v>
                </c:pt>
                <c:pt idx="15">
                  <c:v>44.546499999999988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211-46D1-ACC5-999EB8E5B1C2}"/>
            </c:ext>
          </c:extLst>
        </c:ser>
        <c:ser>
          <c:idx val="7"/>
          <c:order val="7"/>
          <c:tx>
            <c:v>1,8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'MV_ulc removed'!$E$6:$T$6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xVal>
          <c:yVal>
            <c:numRef>
              <c:f>'MV_ulc removed'!$E$15:$T$15</c:f>
              <c:numCache>
                <c:formatCode>General</c:formatCode>
                <c:ptCount val="16"/>
                <c:pt idx="0">
                  <c:v>0</c:v>
                </c:pt>
                <c:pt idx="4">
                  <c:v>0</c:v>
                </c:pt>
                <c:pt idx="5">
                  <c:v>24.5</c:v>
                </c:pt>
                <c:pt idx="11">
                  <c:v>38.332000000000001</c:v>
                </c:pt>
                <c:pt idx="13">
                  <c:v>31.849999999999998</c:v>
                </c:pt>
                <c:pt idx="15">
                  <c:v>31.212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211-46D1-ACC5-999EB8E5B1C2}"/>
            </c:ext>
          </c:extLst>
        </c:ser>
        <c:ser>
          <c:idx val="8"/>
          <c:order val="8"/>
          <c:tx>
            <c:v>1,9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'MV_ulc removed'!$E$6:$T$6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xVal>
          <c:yVal>
            <c:numRef>
              <c:f>'MV_ulc removed'!$E$16:$T$16</c:f>
              <c:numCache>
                <c:formatCode>General</c:formatCode>
                <c:ptCount val="16"/>
                <c:pt idx="0">
                  <c:v>0</c:v>
                </c:pt>
                <c:pt idx="4">
                  <c:v>0</c:v>
                </c:pt>
                <c:pt idx="5">
                  <c:v>31.5</c:v>
                </c:pt>
                <c:pt idx="11">
                  <c:v>71.527499999999989</c:v>
                </c:pt>
                <c:pt idx="13">
                  <c:v>24.986000000000001</c:v>
                </c:pt>
                <c:pt idx="15">
                  <c:v>63.47999999999999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211-46D1-ACC5-999EB8E5B1C2}"/>
            </c:ext>
          </c:extLst>
        </c:ser>
        <c:ser>
          <c:idx val="9"/>
          <c:order val="9"/>
          <c:tx>
            <c:v>2,1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'MV_ulc removed'!$E$6:$V$6</c:f>
              <c:numCache>
                <c:formatCode>General</c:formatCode>
                <c:ptCount val="1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</c:numCache>
            </c:numRef>
          </c:xVal>
          <c:yVal>
            <c:numRef>
              <c:f>'MV_ulc removed'!$E$17:$V$17</c:f>
              <c:numCache>
                <c:formatCode>General</c:formatCode>
                <c:ptCount val="18"/>
                <c:pt idx="0">
                  <c:v>0</c:v>
                </c:pt>
                <c:pt idx="5">
                  <c:v>11.875</c:v>
                </c:pt>
                <c:pt idx="6">
                  <c:v>15</c:v>
                </c:pt>
                <c:pt idx="7">
                  <c:v>28.160000000000004</c:v>
                </c:pt>
                <c:pt idx="13">
                  <c:v>82.944000000000003</c:v>
                </c:pt>
                <c:pt idx="15">
                  <c:v>89.734499999999983</c:v>
                </c:pt>
                <c:pt idx="17">
                  <c:v>138.60000000000002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211-46D1-ACC5-999EB8E5B1C2}"/>
            </c:ext>
          </c:extLst>
        </c:ser>
        <c:ser>
          <c:idx val="10"/>
          <c:order val="10"/>
          <c:tx>
            <c:v>2,2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'MV_ulc removed'!$E$6:$V$6</c:f>
              <c:numCache>
                <c:formatCode>General</c:formatCode>
                <c:ptCount val="1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</c:numCache>
            </c:numRef>
          </c:xVal>
          <c:yVal>
            <c:numRef>
              <c:f>'MV_ulc removed'!$E$18:$V$18</c:f>
              <c:numCache>
                <c:formatCode>General</c:formatCode>
                <c:ptCount val="18"/>
                <c:pt idx="0">
                  <c:v>0</c:v>
                </c:pt>
                <c:pt idx="5">
                  <c:v>28.321999999999999</c:v>
                </c:pt>
                <c:pt idx="6">
                  <c:v>25.92</c:v>
                </c:pt>
                <c:pt idx="7">
                  <c:v>37.647500000000008</c:v>
                </c:pt>
                <c:pt idx="13">
                  <c:v>94.101499999999987</c:v>
                </c:pt>
                <c:pt idx="15">
                  <c:v>76.031999999999982</c:v>
                </c:pt>
                <c:pt idx="17">
                  <c:v>132.27800000000002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D211-46D1-ACC5-999EB8E5B1C2}"/>
            </c:ext>
          </c:extLst>
        </c:ser>
        <c:ser>
          <c:idx val="11"/>
          <c:order val="11"/>
          <c:tx>
            <c:v>2,3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'MV_ulc removed'!$E$6:$V$6</c:f>
              <c:numCache>
                <c:formatCode>General</c:formatCode>
                <c:ptCount val="1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</c:numCache>
            </c:numRef>
          </c:xVal>
          <c:yVal>
            <c:numRef>
              <c:f>'MV_ulc removed'!$E$19:$V$19</c:f>
              <c:numCache>
                <c:formatCode>General</c:formatCode>
                <c:ptCount val="18"/>
                <c:pt idx="0">
                  <c:v>0</c:v>
                </c:pt>
                <c:pt idx="5">
                  <c:v>32.171500000000002</c:v>
                </c:pt>
                <c:pt idx="6">
                  <c:v>16.128</c:v>
                </c:pt>
                <c:pt idx="7">
                  <c:v>34.299999999999997</c:v>
                </c:pt>
                <c:pt idx="13">
                  <c:v>137.67699999999999</c:v>
                </c:pt>
                <c:pt idx="15">
                  <c:v>211.86450000000002</c:v>
                </c:pt>
                <c:pt idx="17">
                  <c:v>441.45000000000005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D211-46D1-ACC5-999EB8E5B1C2}"/>
            </c:ext>
          </c:extLst>
        </c:ser>
        <c:ser>
          <c:idx val="12"/>
          <c:order val="12"/>
          <c:tx>
            <c:v>2,4</c:v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'MV_ulc removed'!$E$6:$V$6</c:f>
              <c:numCache>
                <c:formatCode>General</c:formatCode>
                <c:ptCount val="1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</c:numCache>
            </c:numRef>
          </c:xVal>
          <c:yVal>
            <c:numRef>
              <c:f>'MV_ulc removed'!$E$20:$V$20</c:f>
              <c:numCache>
                <c:formatCode>General</c:formatCode>
                <c:ptCount val="18"/>
                <c:pt idx="0">
                  <c:v>0</c:v>
                </c:pt>
                <c:pt idx="5">
                  <c:v>17.968499999999999</c:v>
                </c:pt>
                <c:pt idx="6">
                  <c:v>19.651999999999997</c:v>
                </c:pt>
                <c:pt idx="7">
                  <c:v>19.968000000000004</c:v>
                </c:pt>
                <c:pt idx="13">
                  <c:v>83.1875</c:v>
                </c:pt>
                <c:pt idx="15">
                  <c:v>61.05599999999999</c:v>
                </c:pt>
                <c:pt idx="17">
                  <c:v>87.813999999999993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D211-46D1-ACC5-999EB8E5B1C2}"/>
            </c:ext>
          </c:extLst>
        </c:ser>
        <c:ser>
          <c:idx val="13"/>
          <c:order val="13"/>
          <c:tx>
            <c:v>2,5</c:v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'MV_ulc removed'!$E$6:$V$6</c:f>
              <c:numCache>
                <c:formatCode>General</c:formatCode>
                <c:ptCount val="1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</c:numCache>
            </c:numRef>
          </c:xVal>
          <c:yVal>
            <c:numRef>
              <c:f>'MV_ulc removed'!$E$21:$V$21</c:f>
              <c:numCache>
                <c:formatCode>General</c:formatCode>
                <c:ptCount val="18"/>
                <c:pt idx="0">
                  <c:v>0</c:v>
                </c:pt>
                <c:pt idx="5">
                  <c:v>8.1224999999999987</c:v>
                </c:pt>
                <c:pt idx="6">
                  <c:v>27.449999999999996</c:v>
                </c:pt>
                <c:pt idx="7">
                  <c:v>50.192999999999998</c:v>
                </c:pt>
                <c:pt idx="13">
                  <c:v>163.79999999999998</c:v>
                </c:pt>
                <c:pt idx="15">
                  <c:v>242.81100000000001</c:v>
                </c:pt>
                <c:pt idx="17">
                  <c:v>444.52800000000002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D211-46D1-ACC5-999EB8E5B1C2}"/>
            </c:ext>
          </c:extLst>
        </c:ser>
        <c:ser>
          <c:idx val="14"/>
          <c:order val="14"/>
          <c:tx>
            <c:v>2,6</c:v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'MV_ulc removed'!$E$6:$V$6</c:f>
              <c:numCache>
                <c:formatCode>General</c:formatCode>
                <c:ptCount val="1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</c:numCache>
            </c:numRef>
          </c:xVal>
          <c:yVal>
            <c:numRef>
              <c:f>'MV_ulc removed'!$E$22:$V$22</c:f>
              <c:numCache>
                <c:formatCode>General</c:formatCode>
                <c:ptCount val="18"/>
                <c:pt idx="0">
                  <c:v>0</c:v>
                </c:pt>
                <c:pt idx="5">
                  <c:v>20.16</c:v>
                </c:pt>
                <c:pt idx="6">
                  <c:v>19.308499999999999</c:v>
                </c:pt>
                <c:pt idx="7">
                  <c:v>24.786000000000001</c:v>
                </c:pt>
                <c:pt idx="13">
                  <c:v>24.421500000000005</c:v>
                </c:pt>
                <c:pt idx="15">
                  <c:v>35.840000000000003</c:v>
                </c:pt>
                <c:pt idx="17">
                  <c:v>40.050000000000004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D211-46D1-ACC5-999EB8E5B1C2}"/>
            </c:ext>
          </c:extLst>
        </c:ser>
        <c:ser>
          <c:idx val="15"/>
          <c:order val="15"/>
          <c:tx>
            <c:v>2,7</c:v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'MV_ulc removed'!$E$6:$V$6</c:f>
              <c:numCache>
                <c:formatCode>General</c:formatCode>
                <c:ptCount val="1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</c:numCache>
            </c:numRef>
          </c:xVal>
          <c:yVal>
            <c:numRef>
              <c:f>'MV_ulc removed'!$E$23:$V$23</c:f>
              <c:numCache>
                <c:formatCode>General</c:formatCode>
                <c:ptCount val="18"/>
                <c:pt idx="0">
                  <c:v>0</c:v>
                </c:pt>
                <c:pt idx="5">
                  <c:v>20.775999999999996</c:v>
                </c:pt>
                <c:pt idx="6">
                  <c:v>23.849999999999998</c:v>
                </c:pt>
                <c:pt idx="7">
                  <c:v>38.988</c:v>
                </c:pt>
                <c:pt idx="13">
                  <c:v>94.936499999999981</c:v>
                </c:pt>
                <c:pt idx="15">
                  <c:v>146.33399999999997</c:v>
                </c:pt>
                <c:pt idx="17">
                  <c:v>176.82400000000001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D211-46D1-ACC5-999EB8E5B1C2}"/>
            </c:ext>
          </c:extLst>
        </c:ser>
        <c:ser>
          <c:idx val="16"/>
          <c:order val="16"/>
          <c:tx>
            <c:v>2,8</c:v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'MV_ulc removed'!$E$6:$V$6</c:f>
              <c:numCache>
                <c:formatCode>General</c:formatCode>
                <c:ptCount val="1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</c:numCache>
            </c:numRef>
          </c:xVal>
          <c:yVal>
            <c:numRef>
              <c:f>'MV_ulc removed'!$E$24:$V$24</c:f>
              <c:numCache>
                <c:formatCode>General</c:formatCode>
                <c:ptCount val="18"/>
                <c:pt idx="0">
                  <c:v>0</c:v>
                </c:pt>
                <c:pt idx="5">
                  <c:v>15.287999999999998</c:v>
                </c:pt>
                <c:pt idx="6">
                  <c:v>8</c:v>
                </c:pt>
                <c:pt idx="7">
                  <c:v>12.393000000000001</c:v>
                </c:pt>
                <c:pt idx="13">
                  <c:v>32</c:v>
                </c:pt>
                <c:pt idx="15">
                  <c:v>16.650000000000002</c:v>
                </c:pt>
                <c:pt idx="17">
                  <c:v>36.1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D211-46D1-ACC5-999EB8E5B1C2}"/>
            </c:ext>
          </c:extLst>
        </c:ser>
        <c:ser>
          <c:idx val="17"/>
          <c:order val="17"/>
          <c:tx>
            <c:v>2,9</c:v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'MV_ulc removed'!$E$6:$V$6</c:f>
              <c:numCache>
                <c:formatCode>General</c:formatCode>
                <c:ptCount val="1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</c:numCache>
            </c:numRef>
          </c:xVal>
          <c:yVal>
            <c:numRef>
              <c:f>'MV_ulc removed'!$E$25:$V$25</c:f>
              <c:numCache>
                <c:formatCode>General</c:formatCode>
                <c:ptCount val="18"/>
                <c:pt idx="0">
                  <c:v>0</c:v>
                </c:pt>
                <c:pt idx="5">
                  <c:v>12.2</c:v>
                </c:pt>
                <c:pt idx="6">
                  <c:v>13.717999999999998</c:v>
                </c:pt>
                <c:pt idx="7">
                  <c:v>26.973000000000006</c:v>
                </c:pt>
                <c:pt idx="13">
                  <c:v>181.01200000000003</c:v>
                </c:pt>
                <c:pt idx="15">
                  <c:v>181.01200000000003</c:v>
                </c:pt>
                <c:pt idx="17">
                  <c:v>427.5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D211-46D1-ACC5-999EB8E5B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974528"/>
        <c:axId val="576977048"/>
      </c:scatterChart>
      <c:valAx>
        <c:axId val="576974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76977048"/>
        <c:crosses val="autoZero"/>
        <c:crossBetween val="midCat"/>
      </c:valAx>
      <c:valAx>
        <c:axId val="576977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76974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'MV-BiTE_ulc removed'!$E$6:$W$6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xVal>
          <c:yVal>
            <c:numRef>
              <c:f>'MV-BiTE_ulc removed'!$E$39:$W$39</c:f>
              <c:numCache>
                <c:formatCode>General</c:formatCode>
                <c:ptCount val="19"/>
                <c:pt idx="0">
                  <c:v>0</c:v>
                </c:pt>
                <c:pt idx="4">
                  <c:v>4.9273333333333333</c:v>
                </c:pt>
                <c:pt idx="5">
                  <c:v>20.921981481481481</c:v>
                </c:pt>
                <c:pt idx="6">
                  <c:v>24.007333333333332</c:v>
                </c:pt>
                <c:pt idx="7">
                  <c:v>33.05916666666667</c:v>
                </c:pt>
                <c:pt idx="11">
                  <c:v>21.187055555555553</c:v>
                </c:pt>
                <c:pt idx="13">
                  <c:v>48.380555555555553</c:v>
                </c:pt>
                <c:pt idx="15">
                  <c:v>60.144555555555556</c:v>
                </c:pt>
                <c:pt idx="17">
                  <c:v>91.377388888888902</c:v>
                </c:pt>
                <c:pt idx="18">
                  <c:v>96.685249999999982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232-4814-9358-D6109E865D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4092056"/>
        <c:axId val="514084136"/>
      </c:scatterChart>
      <c:valAx>
        <c:axId val="514092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14084136"/>
        <c:crosses val="autoZero"/>
        <c:crossBetween val="midCat"/>
      </c:valAx>
      <c:valAx>
        <c:axId val="514084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14092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'MV-BiTE_ulc removed'!$E$6:$W$6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xVal>
          <c:yVal>
            <c:numRef>
              <c:f>'MV-BiTE_ulc removed'!$E$8:$W$8</c:f>
              <c:numCache>
                <c:formatCode>General</c:formatCode>
                <c:ptCount val="19"/>
                <c:pt idx="0">
                  <c:v>0</c:v>
                </c:pt>
                <c:pt idx="4">
                  <c:v>0</c:v>
                </c:pt>
                <c:pt idx="5">
                  <c:v>18</c:v>
                </c:pt>
                <c:pt idx="11">
                  <c:v>18</c:v>
                </c:pt>
                <c:pt idx="13">
                  <c:v>36.503999999999998</c:v>
                </c:pt>
                <c:pt idx="15">
                  <c:v>70.82950000000001</c:v>
                </c:pt>
                <c:pt idx="18">
                  <c:v>187.91049999999996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B67-4C69-914A-8D1832B70B2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'MV-BiTE_ulc removed'!$E$6:$W$6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xVal>
          <c:yVal>
            <c:numRef>
              <c:f>'MV-BiTE_ulc removed'!$E$9:$W$9</c:f>
              <c:numCache>
                <c:formatCode>General</c:formatCode>
                <c:ptCount val="19"/>
                <c:pt idx="0">
                  <c:v>0</c:v>
                </c:pt>
                <c:pt idx="4">
                  <c:v>0</c:v>
                </c:pt>
                <c:pt idx="5">
                  <c:v>15.625</c:v>
                </c:pt>
                <c:pt idx="11">
                  <c:v>33.540500000000009</c:v>
                </c:pt>
                <c:pt idx="13">
                  <c:v>18.081499999999998</c:v>
                </c:pt>
                <c:pt idx="15">
                  <c:v>16.399499999999996</c:v>
                </c:pt>
                <c:pt idx="18">
                  <c:v>27.864000000000001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B67-4C69-914A-8D1832B70B2B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'MV-BiTE_ulc removed'!$E$6:$W$6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xVal>
          <c:yVal>
            <c:numRef>
              <c:f>'MV-BiTE_ulc removed'!$E$10:$W$10</c:f>
              <c:numCache>
                <c:formatCode>General</c:formatCode>
                <c:ptCount val="19"/>
                <c:pt idx="0">
                  <c:v>0</c:v>
                </c:pt>
                <c:pt idx="4">
                  <c:v>0</c:v>
                </c:pt>
                <c:pt idx="5">
                  <c:v>27</c:v>
                </c:pt>
                <c:pt idx="11">
                  <c:v>12.8</c:v>
                </c:pt>
                <c:pt idx="13">
                  <c:v>12.960499999999998</c:v>
                </c:pt>
                <c:pt idx="15">
                  <c:v>11.686500000000001</c:v>
                </c:pt>
                <c:pt idx="18">
                  <c:v>21.5625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B67-4C69-914A-8D1832B70B2B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'MV-BiTE_ulc removed'!$E$6:$W$6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xVal>
          <c:yVal>
            <c:numRef>
              <c:f>'MV-BiTE_ulc removed'!$E$11:$W$11</c:f>
              <c:numCache>
                <c:formatCode>General</c:formatCode>
                <c:ptCount val="19"/>
                <c:pt idx="0">
                  <c:v>0</c:v>
                </c:pt>
                <c:pt idx="4">
                  <c:v>0</c:v>
                </c:pt>
                <c:pt idx="5">
                  <c:v>36.75</c:v>
                </c:pt>
                <c:pt idx="11">
                  <c:v>14.520000000000003</c:v>
                </c:pt>
                <c:pt idx="13">
                  <c:v>22.963500000000003</c:v>
                </c:pt>
                <c:pt idx="15">
                  <c:v>11.848999999999998</c:v>
                </c:pt>
                <c:pt idx="18">
                  <c:v>19.007999999999996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B67-4C69-914A-8D1832B70B2B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'MV-BiTE_ulc removed'!$E$6:$W$6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xVal>
          <c:yVal>
            <c:numRef>
              <c:f>'MV-BiTE_ulc removed'!$E$12:$W$12</c:f>
              <c:numCache>
                <c:formatCode>General</c:formatCode>
                <c:ptCount val="19"/>
                <c:pt idx="0">
                  <c:v>0</c:v>
                </c:pt>
                <c:pt idx="4">
                  <c:v>0</c:v>
                </c:pt>
                <c:pt idx="5">
                  <c:v>44</c:v>
                </c:pt>
                <c:pt idx="11">
                  <c:v>40</c:v>
                </c:pt>
                <c:pt idx="13">
                  <c:v>92.596500000000006</c:v>
                </c:pt>
                <c:pt idx="15">
                  <c:v>102.68950000000001</c:v>
                </c:pt>
                <c:pt idx="18">
                  <c:v>184.95999999999998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B67-4C69-914A-8D1832B70B2B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'MV-BiTE_ulc removed'!$E$6:$W$6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xVal>
          <c:yVal>
            <c:numRef>
              <c:f>'MV-BiTE_ulc removed'!$E$13:$W$13</c:f>
              <c:numCache>
                <c:formatCode>General</c:formatCode>
                <c:ptCount val="19"/>
                <c:pt idx="0">
                  <c:v>0</c:v>
                </c:pt>
                <c:pt idx="4">
                  <c:v>16.650000000000002</c:v>
                </c:pt>
                <c:pt idx="5">
                  <c:v>12</c:v>
                </c:pt>
                <c:pt idx="11">
                  <c:v>20.25</c:v>
                </c:pt>
                <c:pt idx="13">
                  <c:v>24.853999999999999</c:v>
                </c:pt>
                <c:pt idx="15">
                  <c:v>56.699999999999996</c:v>
                </c:pt>
                <c:pt idx="18">
                  <c:v>231.04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B67-4C69-914A-8D1832B70B2B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'MV-BiTE_ulc removed'!$E$6:$W$6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xVal>
          <c:yVal>
            <c:numRef>
              <c:f>'MV-BiTE_ulc removed'!$E$14:$W$14</c:f>
              <c:numCache>
                <c:formatCode>General</c:formatCode>
                <c:ptCount val="19"/>
                <c:pt idx="0">
                  <c:v>0</c:v>
                </c:pt>
                <c:pt idx="4">
                  <c:v>0</c:v>
                </c:pt>
                <c:pt idx="5">
                  <c:v>33.75</c:v>
                </c:pt>
                <c:pt idx="11">
                  <c:v>30.625</c:v>
                </c:pt>
                <c:pt idx="13">
                  <c:v>8.1340000000000003</c:v>
                </c:pt>
                <c:pt idx="15">
                  <c:v>24.192</c:v>
                </c:pt>
                <c:pt idx="18">
                  <c:v>32.927999999999997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B67-4C69-914A-8D1832B70B2B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'MV-BiTE_ulc removed'!$E$6:$W$6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xVal>
          <c:yVal>
            <c:numRef>
              <c:f>'MV-BiTE_ulc removed'!$E$15:$W$15</c:f>
              <c:numCache>
                <c:formatCode>General</c:formatCode>
                <c:ptCount val="19"/>
                <c:pt idx="0">
                  <c:v>0</c:v>
                </c:pt>
                <c:pt idx="4">
                  <c:v>14.196000000000003</c:v>
                </c:pt>
                <c:pt idx="5">
                  <c:v>22.5</c:v>
                </c:pt>
                <c:pt idx="11">
                  <c:v>10.579999999999998</c:v>
                </c:pt>
                <c:pt idx="13">
                  <c:v>11.2455</c:v>
                </c:pt>
                <c:pt idx="15">
                  <c:v>9.7020000000000017</c:v>
                </c:pt>
                <c:pt idx="18">
                  <c:v>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CB67-4C69-914A-8D1832B70B2B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'MV-BiTE_ulc removed'!$E$6:$W$6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xVal>
          <c:yVal>
            <c:numRef>
              <c:f>'MV-BiTE_ulc removed'!$E$16:$W$16</c:f>
              <c:numCache>
                <c:formatCode>General</c:formatCode>
                <c:ptCount val="19"/>
                <c:pt idx="0">
                  <c:v>0</c:v>
                </c:pt>
                <c:pt idx="4">
                  <c:v>13.5</c:v>
                </c:pt>
                <c:pt idx="5">
                  <c:v>18</c:v>
                </c:pt>
                <c:pt idx="11">
                  <c:v>10.368</c:v>
                </c:pt>
                <c:pt idx="13">
                  <c:v>4</c:v>
                </c:pt>
                <c:pt idx="15">
                  <c:v>4.6929999999999996</c:v>
                </c:pt>
                <c:pt idx="18">
                  <c:v>5.1840000000000011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CB67-4C69-914A-8D1832B70B2B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'MV-BiTE_ulc removed'!$E$6:$W$6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xVal>
          <c:yVal>
            <c:numRef>
              <c:f>'MV-BiTE_ulc removed'!$E$17:$W$17</c:f>
              <c:numCache>
                <c:formatCode>General</c:formatCode>
                <c:ptCount val="19"/>
                <c:pt idx="0">
                  <c:v>0</c:v>
                </c:pt>
                <c:pt idx="5">
                  <c:v>6.6420000000000003</c:v>
                </c:pt>
                <c:pt idx="6">
                  <c:v>16.855999999999998</c:v>
                </c:pt>
                <c:pt idx="7">
                  <c:v>16.128</c:v>
                </c:pt>
                <c:pt idx="13">
                  <c:v>6.3179999999999996</c:v>
                </c:pt>
                <c:pt idx="15">
                  <c:v>8.1585000000000001</c:v>
                </c:pt>
                <c:pt idx="17">
                  <c:v>5.7600000000000007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CB67-4C69-914A-8D1832B70B2B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'MV-BiTE_ulc removed'!$E$6:$W$6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xVal>
          <c:yVal>
            <c:numRef>
              <c:f>'MV-BiTE_ulc removed'!$E$18:$W$18</c:f>
              <c:numCache>
                <c:formatCode>General</c:formatCode>
                <c:ptCount val="19"/>
                <c:pt idx="0">
                  <c:v>0</c:v>
                </c:pt>
                <c:pt idx="5">
                  <c:v>9.7020000000000017</c:v>
                </c:pt>
                <c:pt idx="6">
                  <c:v>17.908000000000001</c:v>
                </c:pt>
                <c:pt idx="7">
                  <c:v>31.5</c:v>
                </c:pt>
                <c:pt idx="13">
                  <c:v>59.2</c:v>
                </c:pt>
                <c:pt idx="15">
                  <c:v>57.994499999999995</c:v>
                </c:pt>
                <c:pt idx="17">
                  <c:v>90.037500000000009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CB67-4C69-914A-8D1832B70B2B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'MV-BiTE_ulc removed'!$E$6:$W$6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xVal>
          <c:yVal>
            <c:numRef>
              <c:f>'MV-BiTE_ulc removed'!$E$19:$W$19</c:f>
              <c:numCache>
                <c:formatCode>General</c:formatCode>
                <c:ptCount val="19"/>
                <c:pt idx="0">
                  <c:v>0</c:v>
                </c:pt>
                <c:pt idx="5">
                  <c:v>22.343999999999998</c:v>
                </c:pt>
                <c:pt idx="6">
                  <c:v>15.435000000000002</c:v>
                </c:pt>
                <c:pt idx="7">
                  <c:v>39.200000000000003</c:v>
                </c:pt>
                <c:pt idx="13">
                  <c:v>80.64</c:v>
                </c:pt>
                <c:pt idx="15">
                  <c:v>147.94250000000002</c:v>
                </c:pt>
                <c:pt idx="17">
                  <c:v>173.0265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CB67-4C69-914A-8D1832B70B2B}"/>
            </c:ext>
          </c:extLst>
        </c:ser>
        <c:ser>
          <c:idx val="12"/>
          <c:order val="12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'MV-BiTE_ulc removed'!$E$6:$W$6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xVal>
          <c:yVal>
            <c:numRef>
              <c:f>'MV-BiTE_ulc removed'!$E$20:$W$20</c:f>
              <c:numCache>
                <c:formatCode>General</c:formatCode>
                <c:ptCount val="19"/>
                <c:pt idx="0">
                  <c:v>0</c:v>
                </c:pt>
                <c:pt idx="5">
                  <c:v>16.82</c:v>
                </c:pt>
                <c:pt idx="6">
                  <c:v>19.118000000000006</c:v>
                </c:pt>
                <c:pt idx="7">
                  <c:v>22.1875</c:v>
                </c:pt>
                <c:pt idx="13">
                  <c:v>18.876000000000001</c:v>
                </c:pt>
                <c:pt idx="15">
                  <c:v>33.319999999999993</c:v>
                </c:pt>
                <c:pt idx="17">
                  <c:v>21.296000000000006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CB67-4C69-914A-8D1832B70B2B}"/>
            </c:ext>
          </c:extLst>
        </c:ser>
        <c:ser>
          <c:idx val="13"/>
          <c:order val="13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'MV-BiTE_ulc removed'!$E$6:$W$6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xVal>
          <c:yVal>
            <c:numRef>
              <c:f>'MV-BiTE_ulc removed'!$E$21:$W$21</c:f>
              <c:numCache>
                <c:formatCode>General</c:formatCode>
                <c:ptCount val="19"/>
                <c:pt idx="0">
                  <c:v>0</c:v>
                </c:pt>
                <c:pt idx="5">
                  <c:v>17.660999999999998</c:v>
                </c:pt>
                <c:pt idx="6">
                  <c:v>10.693</c:v>
                </c:pt>
                <c:pt idx="7">
                  <c:v>19.308499999999999</c:v>
                </c:pt>
                <c:pt idx="13">
                  <c:v>11.4</c:v>
                </c:pt>
                <c:pt idx="15">
                  <c:v>12.093500000000001</c:v>
                </c:pt>
                <c:pt idx="17">
                  <c:v>10.259499999999999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CB67-4C69-914A-8D1832B70B2B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'MV-BiTE_ulc removed'!$E$6:$W$6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xVal>
          <c:yVal>
            <c:numRef>
              <c:f>'MV-BiTE_ulc removed'!$E$22:$W$22</c:f>
              <c:numCache>
                <c:formatCode>General</c:formatCode>
                <c:ptCount val="19"/>
                <c:pt idx="0">
                  <c:v>0</c:v>
                </c:pt>
                <c:pt idx="5">
                  <c:v>9.9274999999999984</c:v>
                </c:pt>
                <c:pt idx="6">
                  <c:v>16.25</c:v>
                </c:pt>
                <c:pt idx="7">
                  <c:v>27.388500000000004</c:v>
                </c:pt>
                <c:pt idx="13">
                  <c:v>21.559999999999995</c:v>
                </c:pt>
                <c:pt idx="15">
                  <c:v>16.128</c:v>
                </c:pt>
                <c:pt idx="17">
                  <c:v>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CB67-4C69-914A-8D1832B70B2B}"/>
            </c:ext>
          </c:extLst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'MV-BiTE_ulc removed'!$E$6:$W$6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xVal>
          <c:yVal>
            <c:numRef>
              <c:f>'MV-BiTE_ulc removed'!$E$23:$W$23</c:f>
              <c:numCache>
                <c:formatCode>General</c:formatCode>
                <c:ptCount val="19"/>
                <c:pt idx="0">
                  <c:v>0</c:v>
                </c:pt>
                <c:pt idx="5">
                  <c:v>13.552000000000001</c:v>
                </c:pt>
                <c:pt idx="6">
                  <c:v>23.849999999999998</c:v>
                </c:pt>
                <c:pt idx="7">
                  <c:v>34.992000000000004</c:v>
                </c:pt>
                <c:pt idx="13">
                  <c:v>132.5</c:v>
                </c:pt>
                <c:pt idx="15">
                  <c:v>92.45</c:v>
                </c:pt>
                <c:pt idx="17">
                  <c:v>127.44899999999998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CB67-4C69-914A-8D1832B70B2B}"/>
            </c:ext>
          </c:extLst>
        </c:ser>
        <c:ser>
          <c:idx val="16"/>
          <c:order val="16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'MV-BiTE_ulc removed'!$E$6:$W$6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xVal>
          <c:yVal>
            <c:numRef>
              <c:f>'MV-BiTE_ulc removed'!$E$24:$W$24</c:f>
              <c:numCache>
                <c:formatCode>General</c:formatCode>
                <c:ptCount val="19"/>
                <c:pt idx="0">
                  <c:v>0</c:v>
                </c:pt>
                <c:pt idx="5">
                  <c:v>21.142000000000003</c:v>
                </c:pt>
                <c:pt idx="6">
                  <c:v>47.908499999999989</c:v>
                </c:pt>
                <c:pt idx="7">
                  <c:v>77.064000000000007</c:v>
                </c:pt>
                <c:pt idx="13">
                  <c:v>136.24199999999999</c:v>
                </c:pt>
                <c:pt idx="15">
                  <c:v>188.416</c:v>
                </c:pt>
                <c:pt idx="17">
                  <c:v>363.38400000000007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CB67-4C69-914A-8D1832B70B2B}"/>
            </c:ext>
          </c:extLst>
        </c:ser>
        <c:ser>
          <c:idx val="17"/>
          <c:order val="17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'MV-BiTE_ulc removed'!$E$6:$W$6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xVal>
          <c:yVal>
            <c:numRef>
              <c:f>'MV-BiTE_ulc removed'!$E$25:$W$25</c:f>
              <c:numCache>
                <c:formatCode>General</c:formatCode>
                <c:ptCount val="19"/>
                <c:pt idx="0">
                  <c:v>0</c:v>
                </c:pt>
                <c:pt idx="5">
                  <c:v>13.536</c:v>
                </c:pt>
                <c:pt idx="6">
                  <c:v>14.375</c:v>
                </c:pt>
                <c:pt idx="7">
                  <c:v>28.512000000000004</c:v>
                </c:pt>
                <c:pt idx="13">
                  <c:v>23.119999999999997</c:v>
                </c:pt>
                <c:pt idx="15">
                  <c:v>22.583500000000001</c:v>
                </c:pt>
                <c:pt idx="17">
                  <c:v>20.184000000000001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CB67-4C69-914A-8D1832B70B2B}"/>
            </c:ext>
          </c:extLst>
        </c:ser>
        <c:ser>
          <c:idx val="18"/>
          <c:order val="18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'MV-BiTE_ulc removed'!$E$6:$W$6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xVal>
          <c:yVal>
            <c:numRef>
              <c:f>'MV-BiTE_ulc removed'!$E$26:$W$26</c:f>
              <c:numCache>
                <c:formatCode>General</c:formatCode>
                <c:ptCount val="19"/>
                <c:pt idx="0">
                  <c:v>0</c:v>
                </c:pt>
                <c:pt idx="5">
                  <c:v>20.184000000000001</c:v>
                </c:pt>
                <c:pt idx="6">
                  <c:v>35.300999999999995</c:v>
                </c:pt>
                <c:pt idx="7">
                  <c:v>30.055999999999997</c:v>
                </c:pt>
                <c:pt idx="13">
                  <c:v>22.528000000000006</c:v>
                </c:pt>
                <c:pt idx="15">
                  <c:v>30.208000000000006</c:v>
                </c:pt>
                <c:pt idx="18">
                  <c:v>32.125499999999995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CB67-4C69-914A-8D1832B70B2B}"/>
            </c:ext>
          </c:extLst>
        </c:ser>
        <c:ser>
          <c:idx val="19"/>
          <c:order val="19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'MV-BiTE_ulc removed'!$E$6:$W$6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xVal>
          <c:yVal>
            <c:numRef>
              <c:f>'MV-BiTE_ulc removed'!$E$27:$W$27</c:f>
              <c:numCache>
                <c:formatCode>General</c:formatCode>
                <c:ptCount val="19"/>
                <c:pt idx="0">
                  <c:v>0</c:v>
                </c:pt>
                <c:pt idx="5">
                  <c:v>12.4</c:v>
                </c:pt>
                <c:pt idx="6">
                  <c:v>23.911999999999995</c:v>
                </c:pt>
                <c:pt idx="7">
                  <c:v>34.3035</c:v>
                </c:pt>
                <c:pt idx="13">
                  <c:v>26.655999999999999</c:v>
                </c:pt>
                <c:pt idx="15">
                  <c:v>33.300000000000004</c:v>
                </c:pt>
                <c:pt idx="18">
                  <c:v>17.666000000000004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CB67-4C69-914A-8D1832B70B2B}"/>
            </c:ext>
          </c:extLst>
        </c:ser>
        <c:ser>
          <c:idx val="20"/>
          <c:order val="20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'MV-BiTE_ulc removed'!$E$6:$W$6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xVal>
          <c:yVal>
            <c:numRef>
              <c:f>'MV-BiTE_ulc removed'!$E$28:$W$28</c:f>
              <c:numCache>
                <c:formatCode>General</c:formatCode>
                <c:ptCount val="19"/>
                <c:pt idx="0">
                  <c:v>0</c:v>
                </c:pt>
                <c:pt idx="5">
                  <c:v>16.224</c:v>
                </c:pt>
                <c:pt idx="6">
                  <c:v>16.224</c:v>
                </c:pt>
                <c:pt idx="7">
                  <c:v>44.8</c:v>
                </c:pt>
                <c:pt idx="13">
                  <c:v>80.64</c:v>
                </c:pt>
                <c:pt idx="15">
                  <c:v>99.824999999999989</c:v>
                </c:pt>
                <c:pt idx="18">
                  <c:v>162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CB67-4C69-914A-8D1832B70B2B}"/>
            </c:ext>
          </c:extLst>
        </c:ser>
        <c:ser>
          <c:idx val="21"/>
          <c:order val="21"/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'MV-BiTE_ulc removed'!$E$6:$W$6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xVal>
          <c:yVal>
            <c:numRef>
              <c:f>'MV-BiTE_ulc removed'!$E$29:$W$29</c:f>
              <c:numCache>
                <c:formatCode>General</c:formatCode>
                <c:ptCount val="19"/>
                <c:pt idx="0">
                  <c:v>0</c:v>
                </c:pt>
                <c:pt idx="5">
                  <c:v>21.559999999999995</c:v>
                </c:pt>
                <c:pt idx="6">
                  <c:v>39.016500000000008</c:v>
                </c:pt>
                <c:pt idx="7">
                  <c:v>41.184499999999993</c:v>
                </c:pt>
                <c:pt idx="13">
                  <c:v>60.515999999999991</c:v>
                </c:pt>
                <c:pt idx="15">
                  <c:v>166.69800000000001</c:v>
                </c:pt>
                <c:pt idx="18">
                  <c:v>255.52799999999999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CB67-4C69-914A-8D1832B70B2B}"/>
            </c:ext>
          </c:extLst>
        </c:ser>
        <c:ser>
          <c:idx val="22"/>
          <c:order val="22"/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'MV-BiTE_ulc removed'!$E$6:$W$6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xVal>
          <c:yVal>
            <c:numRef>
              <c:f>'MV-BiTE_ulc removed'!$E$30:$W$30</c:f>
              <c:numCache>
                <c:formatCode>General</c:formatCode>
                <c:ptCount val="19"/>
                <c:pt idx="0">
                  <c:v>0</c:v>
                </c:pt>
                <c:pt idx="5">
                  <c:v>11</c:v>
                </c:pt>
                <c:pt idx="6">
                  <c:v>19.3185</c:v>
                </c:pt>
                <c:pt idx="7">
                  <c:v>20.617999999999999</c:v>
                </c:pt>
                <c:pt idx="13">
                  <c:v>27.136000000000003</c:v>
                </c:pt>
                <c:pt idx="15">
                  <c:v>13.671000000000001</c:v>
                </c:pt>
                <c:pt idx="18">
                  <c:v>13.068000000000003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CB67-4C69-914A-8D1832B70B2B}"/>
            </c:ext>
          </c:extLst>
        </c:ser>
        <c:ser>
          <c:idx val="23"/>
          <c:order val="23"/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'MV-BiTE_ulc removed'!$E$6:$W$6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xVal>
          <c:yVal>
            <c:numRef>
              <c:f>'MV-BiTE_ulc removed'!$E$31:$W$31</c:f>
              <c:numCache>
                <c:formatCode>General</c:formatCode>
                <c:ptCount val="19"/>
                <c:pt idx="0">
                  <c:v>0</c:v>
                </c:pt>
                <c:pt idx="5">
                  <c:v>26.624000000000002</c:v>
                </c:pt>
                <c:pt idx="6">
                  <c:v>28.349999999999998</c:v>
                </c:pt>
                <c:pt idx="7">
                  <c:v>36.992000000000004</c:v>
                </c:pt>
                <c:pt idx="13">
                  <c:v>193.49199999999999</c:v>
                </c:pt>
                <c:pt idx="15">
                  <c:v>222.02399999999997</c:v>
                </c:pt>
                <c:pt idx="18">
                  <c:v>331.66249999999997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CB67-4C69-914A-8D1832B70B2B}"/>
            </c:ext>
          </c:extLst>
        </c:ser>
        <c:ser>
          <c:idx val="24"/>
          <c:order val="24"/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'MV-BiTE_ulc removed'!$E$6:$W$6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xVal>
          <c:yVal>
            <c:numRef>
              <c:f>'MV-BiTE_ulc removed'!$E$32:$W$32</c:f>
              <c:numCache>
                <c:formatCode>General</c:formatCode>
                <c:ptCount val="19"/>
                <c:pt idx="0">
                  <c:v>0</c:v>
                </c:pt>
                <c:pt idx="5">
                  <c:v>17.496000000000002</c:v>
                </c:pt>
                <c:pt idx="6">
                  <c:v>20.383999999999997</c:v>
                </c:pt>
                <c:pt idx="7">
                  <c:v>23.692500000000003</c:v>
                </c:pt>
                <c:pt idx="13">
                  <c:v>33.28</c:v>
                </c:pt>
                <c:pt idx="15">
                  <c:v>32.673999999999999</c:v>
                </c:pt>
                <c:pt idx="18">
                  <c:v>50.539999999999992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CB67-4C69-914A-8D1832B70B2B}"/>
            </c:ext>
          </c:extLst>
        </c:ser>
        <c:ser>
          <c:idx val="25"/>
          <c:order val="25"/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'MV-BiTE_ulc removed'!$E$6:$W$6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xVal>
          <c:yVal>
            <c:numRef>
              <c:f>'MV-BiTE_ulc removed'!$E$33:$W$33</c:f>
              <c:numCache>
                <c:formatCode>General</c:formatCode>
                <c:ptCount val="19"/>
                <c:pt idx="0">
                  <c:v>0</c:v>
                </c:pt>
                <c:pt idx="5">
                  <c:v>17.639999999999997</c:v>
                </c:pt>
                <c:pt idx="6">
                  <c:v>23.127999999999997</c:v>
                </c:pt>
                <c:pt idx="7">
                  <c:v>26.071000000000002</c:v>
                </c:pt>
                <c:pt idx="13">
                  <c:v>43.487499999999997</c:v>
                </c:pt>
                <c:pt idx="15">
                  <c:v>67.914000000000016</c:v>
                </c:pt>
                <c:pt idx="18">
                  <c:v>42.875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CB67-4C69-914A-8D1832B70B2B}"/>
            </c:ext>
          </c:extLst>
        </c:ser>
        <c:ser>
          <c:idx val="26"/>
          <c:order val="26"/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'MV-BiTE_ulc removed'!$E$6:$W$6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xVal>
          <c:yVal>
            <c:numRef>
              <c:f>'MV-BiTE_ulc removed'!$E$34:$W$34</c:f>
              <c:numCache>
                <c:formatCode>General</c:formatCode>
                <c:ptCount val="19"/>
                <c:pt idx="0">
                  <c:v>0</c:v>
                </c:pt>
                <c:pt idx="5">
                  <c:v>62.813999999999986</c:v>
                </c:pt>
                <c:pt idx="6">
                  <c:v>44.104499999999994</c:v>
                </c:pt>
                <c:pt idx="7">
                  <c:v>41.067</c:v>
                </c:pt>
                <c:pt idx="13">
                  <c:v>97.344000000000023</c:v>
                </c:pt>
                <c:pt idx="15">
                  <c:v>69.761499999999998</c:v>
                </c:pt>
                <c:pt idx="18">
                  <c:v>110.41249999999999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A-CB67-4C69-914A-8D1832B70B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974528"/>
        <c:axId val="576977048"/>
      </c:scatterChart>
      <c:valAx>
        <c:axId val="576974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76977048"/>
        <c:crosses val="autoZero"/>
        <c:crossBetween val="midCat"/>
      </c:valAx>
      <c:valAx>
        <c:axId val="576977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76974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464127</xdr:colOff>
      <xdr:row>6</xdr:row>
      <xdr:rowOff>6927</xdr:rowOff>
    </xdr:from>
    <xdr:to>
      <xdr:col>28</xdr:col>
      <xdr:colOff>297872</xdr:colOff>
      <xdr:row>17</xdr:row>
      <xdr:rowOff>214746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404DEC84-1627-4313-A0E4-5EB91637DD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561109</xdr:colOff>
      <xdr:row>20</xdr:row>
      <xdr:rowOff>76201</xdr:rowOff>
    </xdr:from>
    <xdr:to>
      <xdr:col>28</xdr:col>
      <xdr:colOff>394854</xdr:colOff>
      <xdr:row>34</xdr:row>
      <xdr:rowOff>76201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9D660633-76ED-424F-8CC3-EEF7372A09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464127</xdr:colOff>
      <xdr:row>6</xdr:row>
      <xdr:rowOff>6927</xdr:rowOff>
    </xdr:from>
    <xdr:to>
      <xdr:col>28</xdr:col>
      <xdr:colOff>297872</xdr:colOff>
      <xdr:row>17</xdr:row>
      <xdr:rowOff>214746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2BF15D49-D99D-41E6-A929-5652777531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561109</xdr:colOff>
      <xdr:row>20</xdr:row>
      <xdr:rowOff>76201</xdr:rowOff>
    </xdr:from>
    <xdr:to>
      <xdr:col>28</xdr:col>
      <xdr:colOff>394854</xdr:colOff>
      <xdr:row>34</xdr:row>
      <xdr:rowOff>76201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64D0C052-644D-4290-B68F-D88F0873EC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464127</xdr:colOff>
      <xdr:row>6</xdr:row>
      <xdr:rowOff>6927</xdr:rowOff>
    </xdr:from>
    <xdr:to>
      <xdr:col>28</xdr:col>
      <xdr:colOff>297872</xdr:colOff>
      <xdr:row>17</xdr:row>
      <xdr:rowOff>214746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5125A277-9B00-41F9-BE80-7A14709279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561109</xdr:colOff>
      <xdr:row>20</xdr:row>
      <xdr:rowOff>76201</xdr:rowOff>
    </xdr:from>
    <xdr:to>
      <xdr:col>28</xdr:col>
      <xdr:colOff>394854</xdr:colOff>
      <xdr:row>34</xdr:row>
      <xdr:rowOff>76201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B7B3C535-F6FF-471C-85FA-B9EBDD341E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6928</xdr:colOff>
      <xdr:row>3</xdr:row>
      <xdr:rowOff>103910</xdr:rowOff>
    </xdr:from>
    <xdr:to>
      <xdr:col>29</xdr:col>
      <xdr:colOff>630382</xdr:colOff>
      <xdr:row>16</xdr:row>
      <xdr:rowOff>6928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3F55A44C-A971-43ED-82C6-29CD083C54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644236</xdr:colOff>
      <xdr:row>19</xdr:row>
      <xdr:rowOff>200892</xdr:rowOff>
    </xdr:from>
    <xdr:to>
      <xdr:col>30</xdr:col>
      <xdr:colOff>477981</xdr:colOff>
      <xdr:row>33</xdr:row>
      <xdr:rowOff>145474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54C5357F-0E6B-463D-9085-09E5B09D9C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6292C-B1BB-4F73-B476-E79B86432386}">
  <dimension ref="C5:I10"/>
  <sheetViews>
    <sheetView tabSelected="1" workbookViewId="0">
      <selection activeCell="I13" sqref="I13"/>
    </sheetView>
  </sheetViews>
  <sheetFormatPr baseColWidth="10" defaultRowHeight="14.4" x14ac:dyDescent="0.3"/>
  <cols>
    <col min="5" max="7" width="13.33203125" bestFit="1" customWidth="1"/>
  </cols>
  <sheetData>
    <row r="5" spans="3:9" x14ac:dyDescent="0.3">
      <c r="C5" t="s">
        <v>26</v>
      </c>
      <c r="E5" s="9">
        <v>42614</v>
      </c>
      <c r="F5" s="9">
        <v>42736</v>
      </c>
      <c r="G5" s="9">
        <v>42826</v>
      </c>
      <c r="I5" t="s">
        <v>37</v>
      </c>
    </row>
    <row r="7" spans="3:9" x14ac:dyDescent="0.3">
      <c r="E7" t="s">
        <v>28</v>
      </c>
      <c r="F7" t="s">
        <v>29</v>
      </c>
      <c r="G7" t="s">
        <v>30</v>
      </c>
      <c r="I7" t="s">
        <v>27</v>
      </c>
    </row>
    <row r="8" spans="3:9" x14ac:dyDescent="0.3">
      <c r="E8" t="s">
        <v>31</v>
      </c>
      <c r="F8" t="s">
        <v>38</v>
      </c>
      <c r="I8" t="s">
        <v>39</v>
      </c>
    </row>
    <row r="9" spans="3:9" x14ac:dyDescent="0.3">
      <c r="E9" t="s">
        <v>32</v>
      </c>
      <c r="F9" t="s">
        <v>32</v>
      </c>
      <c r="G9" t="s">
        <v>32</v>
      </c>
      <c r="I9" t="s">
        <v>33</v>
      </c>
    </row>
    <row r="10" spans="3:9" x14ac:dyDescent="0.3">
      <c r="F10" t="s">
        <v>34</v>
      </c>
      <c r="G10" t="s">
        <v>35</v>
      </c>
      <c r="I10" t="s">
        <v>36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F0C58-23F8-4C9A-9AFC-087FF23B6665}">
  <dimension ref="A4:T72"/>
  <sheetViews>
    <sheetView zoomScale="55" workbookViewId="0">
      <selection activeCell="C13" sqref="C13:C16"/>
    </sheetView>
  </sheetViews>
  <sheetFormatPr baseColWidth="10" defaultRowHeight="14.4" x14ac:dyDescent="0.3"/>
  <sheetData>
    <row r="4" spans="3:20" x14ac:dyDescent="0.3">
      <c r="K4" s="1"/>
    </row>
    <row r="6" spans="3:20" x14ac:dyDescent="0.3">
      <c r="D6" t="s">
        <v>0</v>
      </c>
      <c r="E6">
        <v>0</v>
      </c>
      <c r="F6">
        <v>1</v>
      </c>
      <c r="G6">
        <v>2</v>
      </c>
      <c r="H6">
        <v>3</v>
      </c>
      <c r="I6">
        <v>4</v>
      </c>
      <c r="J6">
        <v>5</v>
      </c>
      <c r="K6">
        <v>6</v>
      </c>
      <c r="L6">
        <v>7</v>
      </c>
      <c r="M6">
        <v>8</v>
      </c>
      <c r="N6">
        <v>9</v>
      </c>
      <c r="O6">
        <v>10</v>
      </c>
      <c r="P6">
        <v>11</v>
      </c>
      <c r="Q6">
        <v>12</v>
      </c>
      <c r="R6">
        <v>13</v>
      </c>
      <c r="S6">
        <v>14</v>
      </c>
      <c r="T6">
        <v>15</v>
      </c>
    </row>
    <row r="7" spans="3:20" x14ac:dyDescent="0.3">
      <c r="C7" t="s">
        <v>1</v>
      </c>
    </row>
    <row r="8" spans="3:20" ht="18" x14ac:dyDescent="0.35">
      <c r="C8" s="2">
        <v>1.1000000000000001</v>
      </c>
      <c r="E8">
        <f>C8*D8*D8/2</f>
        <v>0</v>
      </c>
      <c r="I8">
        <v>0</v>
      </c>
      <c r="J8">
        <v>4</v>
      </c>
      <c r="P8">
        <v>233.28</v>
      </c>
      <c r="R8">
        <v>310.67499999999995</v>
      </c>
      <c r="T8" s="3">
        <v>1032.2559999999999</v>
      </c>
    </row>
    <row r="9" spans="3:20" ht="18" x14ac:dyDescent="0.35">
      <c r="C9" s="2">
        <v>1.2</v>
      </c>
      <c r="E9">
        <f t="shared" ref="E9:E12" si="0">C9*D9*D9/2</f>
        <v>0</v>
      </c>
      <c r="I9">
        <v>18.59</v>
      </c>
      <c r="J9">
        <v>27</v>
      </c>
      <c r="P9">
        <v>124.20000000000002</v>
      </c>
      <c r="R9">
        <v>184.49299999999999</v>
      </c>
      <c r="T9">
        <v>542.58849999999995</v>
      </c>
    </row>
    <row r="10" spans="3:20" ht="18" x14ac:dyDescent="0.35">
      <c r="C10" s="2" t="s">
        <v>2</v>
      </c>
      <c r="E10">
        <f t="shared" si="0"/>
        <v>0</v>
      </c>
      <c r="I10">
        <v>0</v>
      </c>
      <c r="J10">
        <v>49</v>
      </c>
      <c r="P10">
        <v>92.438500000000019</v>
      </c>
      <c r="R10">
        <v>100</v>
      </c>
      <c r="T10">
        <v>148.01599999999999</v>
      </c>
    </row>
    <row r="11" spans="3:20" ht="18" x14ac:dyDescent="0.35">
      <c r="C11" s="2" t="s">
        <v>3</v>
      </c>
      <c r="E11">
        <f t="shared" si="0"/>
        <v>0</v>
      </c>
      <c r="I11">
        <v>19.6875</v>
      </c>
      <c r="J11">
        <v>40</v>
      </c>
      <c r="P11">
        <v>146.20500000000001</v>
      </c>
      <c r="R11">
        <v>219.96100000000004</v>
      </c>
      <c r="T11">
        <v>476.25600000000009</v>
      </c>
    </row>
    <row r="12" spans="3:20" ht="18" x14ac:dyDescent="0.35">
      <c r="C12" s="2" t="s">
        <v>4</v>
      </c>
      <c r="E12">
        <f t="shared" si="0"/>
        <v>0</v>
      </c>
      <c r="I12">
        <v>0</v>
      </c>
      <c r="J12">
        <v>15.75</v>
      </c>
      <c r="P12">
        <v>48.8</v>
      </c>
      <c r="R12">
        <v>107.94149999999999</v>
      </c>
      <c r="T12">
        <v>242.81100000000001</v>
      </c>
    </row>
    <row r="13" spans="3:20" ht="18" x14ac:dyDescent="0.35">
      <c r="C13" s="2" t="s">
        <v>5</v>
      </c>
      <c r="E13">
        <v>0</v>
      </c>
      <c r="J13">
        <v>5.2344999999999997</v>
      </c>
      <c r="K13">
        <v>12.506000000000002</v>
      </c>
      <c r="L13">
        <v>8.1585000000000001</v>
      </c>
      <c r="R13">
        <v>120</v>
      </c>
      <c r="T13">
        <v>222.952</v>
      </c>
    </row>
    <row r="14" spans="3:20" ht="18" x14ac:dyDescent="0.35">
      <c r="C14" s="2" t="s">
        <v>6</v>
      </c>
      <c r="E14">
        <v>0</v>
      </c>
      <c r="J14">
        <v>17.496000000000002</v>
      </c>
      <c r="K14">
        <v>26.655999999999999</v>
      </c>
      <c r="L14">
        <v>30.183999999999997</v>
      </c>
      <c r="R14">
        <v>331.29800000000006</v>
      </c>
      <c r="T14">
        <v>571.04999999999995</v>
      </c>
    </row>
    <row r="15" spans="3:20" ht="18" x14ac:dyDescent="0.35">
      <c r="C15" s="2" t="s">
        <v>7</v>
      </c>
      <c r="E15">
        <v>0</v>
      </c>
      <c r="J15">
        <v>17</v>
      </c>
      <c r="K15">
        <v>22.646000000000004</v>
      </c>
      <c r="L15">
        <v>17.860500000000005</v>
      </c>
      <c r="R15">
        <v>218.48899999999998</v>
      </c>
      <c r="T15">
        <v>473.84999999999997</v>
      </c>
    </row>
    <row r="16" spans="3:20" ht="18" x14ac:dyDescent="0.35">
      <c r="C16" s="2" t="s">
        <v>8</v>
      </c>
      <c r="E16">
        <v>0</v>
      </c>
      <c r="J16">
        <v>12.1945</v>
      </c>
      <c r="K16">
        <v>20.411999999999999</v>
      </c>
      <c r="L16">
        <v>29.402999999999999</v>
      </c>
      <c r="R16">
        <v>428.12550000000005</v>
      </c>
      <c r="T16">
        <v>310.0215</v>
      </c>
    </row>
    <row r="17" spans="3:20" ht="18" x14ac:dyDescent="0.35">
      <c r="C17" s="2">
        <v>3.1</v>
      </c>
      <c r="E17">
        <v>0</v>
      </c>
      <c r="J17">
        <v>32.768000000000008</v>
      </c>
      <c r="K17">
        <v>9.072000000000001</v>
      </c>
      <c r="L17">
        <v>15.263999999999998</v>
      </c>
      <c r="R17">
        <v>159.93599999999995</v>
      </c>
      <c r="T17">
        <v>279.75200000000001</v>
      </c>
    </row>
    <row r="18" spans="3:20" ht="18" x14ac:dyDescent="0.35">
      <c r="C18" s="2">
        <v>3.2</v>
      </c>
      <c r="E18">
        <v>0</v>
      </c>
      <c r="J18">
        <v>34.225000000000001</v>
      </c>
      <c r="K18">
        <v>44</v>
      </c>
      <c r="L18">
        <v>35.392499999999998</v>
      </c>
      <c r="R18">
        <v>403.43999999999994</v>
      </c>
      <c r="T18" s="3">
        <v>826.28099999999984</v>
      </c>
    </row>
    <row r="19" spans="3:20" ht="18" x14ac:dyDescent="0.35">
      <c r="C19" s="2">
        <v>3.3</v>
      </c>
      <c r="E19">
        <v>0</v>
      </c>
      <c r="J19">
        <v>19.603999999999999</v>
      </c>
      <c r="K19">
        <v>31.5</v>
      </c>
      <c r="L19">
        <v>25.515000000000004</v>
      </c>
      <c r="R19">
        <v>368</v>
      </c>
      <c r="T19" s="3">
        <v>670.29750000000013</v>
      </c>
    </row>
    <row r="20" spans="3:20" ht="18" x14ac:dyDescent="0.35">
      <c r="C20" s="2">
        <v>3.4</v>
      </c>
      <c r="E20">
        <v>0</v>
      </c>
      <c r="J20">
        <v>15.548</v>
      </c>
      <c r="K20">
        <v>32.367999999999995</v>
      </c>
      <c r="L20">
        <v>38.232000000000006</v>
      </c>
      <c r="R20">
        <v>412.77600000000001</v>
      </c>
      <c r="T20">
        <v>409.10100000000006</v>
      </c>
    </row>
    <row r="21" spans="3:20" ht="18" x14ac:dyDescent="0.35">
      <c r="C21" s="2">
        <v>3.5</v>
      </c>
      <c r="E21">
        <v>0</v>
      </c>
      <c r="J21">
        <v>14.112</v>
      </c>
      <c r="K21">
        <v>30.055999999999997</v>
      </c>
      <c r="L21">
        <v>28.160000000000004</v>
      </c>
      <c r="R21">
        <v>505.14099999999996</v>
      </c>
      <c r="T21" s="3">
        <v>1085.1659999999999</v>
      </c>
    </row>
    <row r="22" spans="3:20" ht="18" x14ac:dyDescent="0.35">
      <c r="C22" s="2">
        <v>3.6</v>
      </c>
      <c r="E22">
        <v>0</v>
      </c>
      <c r="J22">
        <v>14.895999999999997</v>
      </c>
      <c r="K22">
        <v>21.632000000000001</v>
      </c>
      <c r="L22">
        <v>25.725000000000001</v>
      </c>
      <c r="R22">
        <v>257.37200000000001</v>
      </c>
      <c r="T22">
        <v>501.00049999999999</v>
      </c>
    </row>
    <row r="23" spans="3:20" ht="18" x14ac:dyDescent="0.35">
      <c r="C23" s="2">
        <v>3.7</v>
      </c>
      <c r="E23">
        <v>0</v>
      </c>
      <c r="J23">
        <v>28.9</v>
      </c>
      <c r="K23">
        <v>28.671999999999997</v>
      </c>
      <c r="L23">
        <v>41.7545</v>
      </c>
      <c r="R23">
        <v>604.51299999999992</v>
      </c>
      <c r="T23" s="3">
        <v>1047.058</v>
      </c>
    </row>
    <row r="24" spans="3:20" ht="18" x14ac:dyDescent="0.35">
      <c r="C24" s="2" t="s">
        <v>9</v>
      </c>
      <c r="E24">
        <v>0</v>
      </c>
      <c r="J24">
        <v>22.8125</v>
      </c>
      <c r="K24">
        <v>19.871999999999996</v>
      </c>
      <c r="L24">
        <v>32.256</v>
      </c>
      <c r="R24">
        <v>509.28149999999999</v>
      </c>
      <c r="T24" s="3">
        <v>1090.7545</v>
      </c>
    </row>
    <row r="27" spans="3:20" x14ac:dyDescent="0.3">
      <c r="E27">
        <f>AVERAGE(E8:E24)</f>
        <v>0</v>
      </c>
      <c r="I27">
        <f>AVERAGE(I8:I24)</f>
        <v>7.6555000000000009</v>
      </c>
      <c r="J27">
        <f>AVERAGE(J8:J24)</f>
        <v>21.796500000000002</v>
      </c>
      <c r="K27">
        <f>AVERAGE(K8:K24)</f>
        <v>24.949333333333332</v>
      </c>
      <c r="L27">
        <f>AVERAGE(L8:L24)</f>
        <v>27.325416666666666</v>
      </c>
      <c r="P27">
        <f>AVERAGE(P8:P24)</f>
        <v>128.9847</v>
      </c>
      <c r="R27">
        <f>AVERAGE(R8:R24)</f>
        <v>308.32014705882352</v>
      </c>
      <c r="T27">
        <f>AVERAGE(T8:T24)</f>
        <v>584.07126470588219</v>
      </c>
    </row>
    <row r="28" spans="3:20" x14ac:dyDescent="0.3">
      <c r="K28" s="3"/>
    </row>
    <row r="29" spans="3:20" x14ac:dyDescent="0.3">
      <c r="E29">
        <f>STDEV(E8:E24)</f>
        <v>0</v>
      </c>
      <c r="I29">
        <f>STDEV(I8:I24)</f>
        <v>10.489904134452324</v>
      </c>
      <c r="J29">
        <f>STDEV(J8:J24)</f>
        <v>12.084601290226747</v>
      </c>
      <c r="K29">
        <f>STDEV(K8:K24)</f>
        <v>9.4066116142108296</v>
      </c>
      <c r="L29">
        <f>STDEV(L8:L24)</f>
        <v>9.7140803519084375</v>
      </c>
      <c r="P29">
        <f>STDEV(P8:P24)</f>
        <v>68.851565953143023</v>
      </c>
      <c r="R29">
        <f>STDEV(R8:R24)</f>
        <v>154.13032927533726</v>
      </c>
      <c r="T29">
        <f>STDEV(T8:T24)</f>
        <v>321.81638584496625</v>
      </c>
    </row>
    <row r="43" spans="1:18" ht="18" x14ac:dyDescent="0.35">
      <c r="A43" s="2"/>
      <c r="R43" s="3"/>
    </row>
    <row r="44" spans="1:18" ht="18" x14ac:dyDescent="0.35">
      <c r="A44" s="2"/>
    </row>
    <row r="45" spans="1:18" ht="18" x14ac:dyDescent="0.35">
      <c r="A45" s="2"/>
    </row>
    <row r="46" spans="1:18" ht="18" x14ac:dyDescent="0.35">
      <c r="A46" s="2"/>
    </row>
    <row r="47" spans="1:18" ht="18" x14ac:dyDescent="0.35">
      <c r="A47" s="2"/>
    </row>
    <row r="48" spans="1:18" ht="18" x14ac:dyDescent="0.35">
      <c r="A48" s="2"/>
    </row>
    <row r="49" spans="1:18" ht="18" x14ac:dyDescent="0.35">
      <c r="A49" s="2"/>
    </row>
    <row r="50" spans="1:18" ht="18" x14ac:dyDescent="0.35">
      <c r="A50" s="2"/>
    </row>
    <row r="51" spans="1:18" ht="18" x14ac:dyDescent="0.35">
      <c r="A51" s="2"/>
    </row>
    <row r="52" spans="1:18" ht="18" x14ac:dyDescent="0.35">
      <c r="A52" s="2"/>
    </row>
    <row r="53" spans="1:18" ht="18" x14ac:dyDescent="0.35">
      <c r="A53" s="2"/>
    </row>
    <row r="54" spans="1:18" ht="18" x14ac:dyDescent="0.35">
      <c r="A54" s="2"/>
    </row>
    <row r="55" spans="1:18" ht="18" x14ac:dyDescent="0.35">
      <c r="A55" s="2"/>
    </row>
    <row r="56" spans="1:18" ht="18" x14ac:dyDescent="0.35">
      <c r="A56" s="2"/>
    </row>
    <row r="57" spans="1:18" ht="18" x14ac:dyDescent="0.35">
      <c r="A57" s="2"/>
    </row>
    <row r="58" spans="1:18" ht="18" x14ac:dyDescent="0.35">
      <c r="A58" s="2"/>
    </row>
    <row r="59" spans="1:18" ht="18" x14ac:dyDescent="0.35">
      <c r="A59" s="2"/>
    </row>
    <row r="60" spans="1:18" ht="18" x14ac:dyDescent="0.35">
      <c r="A60" s="2"/>
    </row>
    <row r="61" spans="1:18" ht="18" x14ac:dyDescent="0.35">
      <c r="A61" s="2"/>
      <c r="R61" s="3"/>
    </row>
    <row r="62" spans="1:18" ht="18" x14ac:dyDescent="0.35">
      <c r="A62" s="2"/>
      <c r="R62" s="3"/>
    </row>
    <row r="63" spans="1:18" ht="18" x14ac:dyDescent="0.35">
      <c r="A63" s="2"/>
    </row>
    <row r="64" spans="1:18" ht="18" x14ac:dyDescent="0.35">
      <c r="A64" s="2"/>
      <c r="R64" s="3"/>
    </row>
    <row r="65" spans="1:18" ht="18" x14ac:dyDescent="0.35">
      <c r="A65" s="2"/>
    </row>
    <row r="66" spans="1:18" ht="18" x14ac:dyDescent="0.35">
      <c r="A66" s="2"/>
      <c r="R66" s="3"/>
    </row>
    <row r="67" spans="1:18" ht="18" x14ac:dyDescent="0.35">
      <c r="A67" s="2"/>
    </row>
    <row r="68" spans="1:18" ht="18" x14ac:dyDescent="0.35">
      <c r="A68" s="2"/>
      <c r="R68" s="3"/>
    </row>
    <row r="69" spans="1:18" ht="18" x14ac:dyDescent="0.35">
      <c r="A69" s="2"/>
    </row>
    <row r="70" spans="1:18" ht="18" x14ac:dyDescent="0.35">
      <c r="A70" s="2"/>
    </row>
    <row r="71" spans="1:18" ht="18" x14ac:dyDescent="0.35">
      <c r="A71" s="2"/>
      <c r="O71" s="3"/>
    </row>
    <row r="72" spans="1:18" ht="18" x14ac:dyDescent="0.35">
      <c r="A72" s="2"/>
    </row>
  </sheetData>
  <pageMargins left="0.7" right="0.7" top="0.78740157499999996" bottom="0.78740157499999996" header="0.3" footer="0.3"/>
  <pageSetup paperSize="9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9E0D0-2BB5-4FA4-9A03-B15AC0EDEC76}">
  <dimension ref="A4:T72"/>
  <sheetViews>
    <sheetView zoomScale="55" workbookViewId="0">
      <selection activeCell="S39" sqref="S39"/>
    </sheetView>
  </sheetViews>
  <sheetFormatPr baseColWidth="10" defaultRowHeight="14.4" x14ac:dyDescent="0.3"/>
  <sheetData>
    <row r="4" spans="3:20" x14ac:dyDescent="0.3">
      <c r="K4" s="1"/>
    </row>
    <row r="6" spans="3:20" x14ac:dyDescent="0.3">
      <c r="D6" t="s">
        <v>0</v>
      </c>
      <c r="E6">
        <v>0</v>
      </c>
      <c r="F6">
        <v>1</v>
      </c>
      <c r="G6">
        <v>2</v>
      </c>
      <c r="H6">
        <v>3</v>
      </c>
      <c r="I6">
        <v>4</v>
      </c>
      <c r="J6">
        <v>5</v>
      </c>
      <c r="K6">
        <v>6</v>
      </c>
      <c r="L6">
        <v>7</v>
      </c>
      <c r="M6">
        <v>8</v>
      </c>
      <c r="N6">
        <v>9</v>
      </c>
      <c r="O6">
        <v>10</v>
      </c>
      <c r="P6">
        <v>11</v>
      </c>
      <c r="Q6">
        <v>12</v>
      </c>
      <c r="R6">
        <v>13</v>
      </c>
      <c r="S6">
        <v>14</v>
      </c>
      <c r="T6">
        <v>15</v>
      </c>
    </row>
    <row r="7" spans="3:20" x14ac:dyDescent="0.3">
      <c r="C7" t="s">
        <v>1</v>
      </c>
    </row>
    <row r="8" spans="3:20" ht="18" x14ac:dyDescent="0.35">
      <c r="C8" s="2" t="s">
        <v>5</v>
      </c>
      <c r="E8" s="4">
        <f t="shared" ref="E8:E11" si="0">C8*D8*D8/2</f>
        <v>0</v>
      </c>
      <c r="J8">
        <v>19.603999999999999</v>
      </c>
      <c r="K8">
        <v>20.617999999999999</v>
      </c>
      <c r="L8">
        <v>28.349999999999998</v>
      </c>
      <c r="R8">
        <v>298.08</v>
      </c>
      <c r="T8">
        <v>530.54999999999995</v>
      </c>
    </row>
    <row r="9" spans="3:20" ht="18" x14ac:dyDescent="0.35">
      <c r="C9" s="2" t="s">
        <v>6</v>
      </c>
      <c r="E9">
        <f t="shared" si="0"/>
        <v>0</v>
      </c>
      <c r="J9">
        <v>18.252000000000002</v>
      </c>
      <c r="K9">
        <v>22.599000000000004</v>
      </c>
      <c r="L9">
        <v>25.479999999999997</v>
      </c>
      <c r="R9">
        <v>245</v>
      </c>
      <c r="T9">
        <v>400.07799999999997</v>
      </c>
    </row>
    <row r="10" spans="3:20" ht="18" x14ac:dyDescent="0.35">
      <c r="C10" s="2" t="s">
        <v>7</v>
      </c>
      <c r="E10">
        <f t="shared" si="0"/>
        <v>0</v>
      </c>
      <c r="J10">
        <v>14.196000000000003</v>
      </c>
      <c r="K10">
        <v>22.5</v>
      </c>
      <c r="L10">
        <v>32</v>
      </c>
      <c r="R10">
        <v>58.824500000000015</v>
      </c>
      <c r="T10">
        <v>40.572000000000003</v>
      </c>
    </row>
    <row r="11" spans="3:20" ht="18" x14ac:dyDescent="0.35">
      <c r="C11" s="2" t="s">
        <v>8</v>
      </c>
      <c r="E11">
        <f t="shared" si="0"/>
        <v>0</v>
      </c>
      <c r="J11">
        <v>5.7759999999999998</v>
      </c>
      <c r="K11">
        <v>8.6399999999999988</v>
      </c>
      <c r="L11">
        <v>13.520000000000001</v>
      </c>
      <c r="R11">
        <v>375.45050000000009</v>
      </c>
      <c r="T11">
        <v>702.25</v>
      </c>
    </row>
    <row r="12" spans="3:20" ht="18" x14ac:dyDescent="0.35">
      <c r="C12" s="2" t="s">
        <v>10</v>
      </c>
      <c r="E12">
        <v>0</v>
      </c>
      <c r="J12">
        <v>9.234</v>
      </c>
      <c r="K12">
        <v>9.536999999999999</v>
      </c>
      <c r="L12">
        <v>21.970000000000002</v>
      </c>
      <c r="R12">
        <v>16.456000000000003</v>
      </c>
      <c r="T12">
        <v>16.096500000000002</v>
      </c>
    </row>
    <row r="13" spans="3:20" ht="18" x14ac:dyDescent="0.35">
      <c r="C13" s="2" t="s">
        <v>11</v>
      </c>
      <c r="E13" s="5">
        <v>0</v>
      </c>
      <c r="J13">
        <v>4.056</v>
      </c>
      <c r="K13">
        <v>17.567999999999998</v>
      </c>
      <c r="L13">
        <v>27.449999999999996</v>
      </c>
      <c r="R13">
        <v>450.50799999999992</v>
      </c>
      <c r="T13">
        <v>827.11799999999982</v>
      </c>
    </row>
    <row r="14" spans="3:20" ht="18" x14ac:dyDescent="0.35">
      <c r="C14" s="2" t="s">
        <v>12</v>
      </c>
      <c r="E14">
        <v>0</v>
      </c>
      <c r="J14">
        <v>31.212</v>
      </c>
      <c r="K14">
        <v>15.9375</v>
      </c>
      <c r="L14">
        <v>27.900000000000002</v>
      </c>
      <c r="R14">
        <v>318.291</v>
      </c>
      <c r="T14">
        <v>425.26999999999992</v>
      </c>
    </row>
    <row r="15" spans="3:20" ht="18" x14ac:dyDescent="0.35">
      <c r="C15" s="2" t="s">
        <v>13</v>
      </c>
      <c r="E15">
        <v>0</v>
      </c>
      <c r="J15">
        <v>12.826000000000001</v>
      </c>
      <c r="K15">
        <v>24.695999999999994</v>
      </c>
      <c r="L15">
        <v>30.271500000000003</v>
      </c>
      <c r="R15">
        <v>337.01400000000007</v>
      </c>
      <c r="T15" s="3">
        <v>1388.9059999999999</v>
      </c>
    </row>
    <row r="16" spans="3:20" ht="18" x14ac:dyDescent="0.35">
      <c r="C16" s="2" t="s">
        <v>14</v>
      </c>
      <c r="E16">
        <v>0</v>
      </c>
      <c r="J16">
        <v>20.9375</v>
      </c>
      <c r="K16">
        <v>20.625</v>
      </c>
      <c r="L16">
        <v>24.336000000000006</v>
      </c>
      <c r="R16">
        <v>266.61600000000004</v>
      </c>
      <c r="T16" s="6">
        <v>582.19350000000009</v>
      </c>
    </row>
    <row r="17" spans="3:20" ht="18" x14ac:dyDescent="0.35">
      <c r="C17" s="2" t="s">
        <v>15</v>
      </c>
      <c r="E17">
        <v>0</v>
      </c>
      <c r="J17">
        <v>27.864000000000001</v>
      </c>
      <c r="K17">
        <v>32.4</v>
      </c>
      <c r="L17">
        <v>41.602499999999992</v>
      </c>
      <c r="R17">
        <v>99.094499999999996</v>
      </c>
      <c r="T17">
        <v>256</v>
      </c>
    </row>
    <row r="18" spans="3:20" ht="18" x14ac:dyDescent="0.35">
      <c r="C18" s="2" t="s">
        <v>16</v>
      </c>
      <c r="E18">
        <v>0</v>
      </c>
      <c r="J18">
        <v>21.505500000000005</v>
      </c>
      <c r="K18">
        <v>26.550000000000004</v>
      </c>
      <c r="L18">
        <v>35.257999999999996</v>
      </c>
      <c r="R18">
        <v>261.85500000000002</v>
      </c>
      <c r="T18">
        <v>627.35599999999999</v>
      </c>
    </row>
    <row r="19" spans="3:20" ht="18" x14ac:dyDescent="0.35">
      <c r="C19" s="2" t="s">
        <v>17</v>
      </c>
      <c r="E19">
        <v>0</v>
      </c>
      <c r="J19">
        <v>23.968500000000002</v>
      </c>
      <c r="K19">
        <v>26.908000000000001</v>
      </c>
      <c r="L19">
        <v>19.683000000000003</v>
      </c>
      <c r="R19">
        <v>28.858499999999996</v>
      </c>
      <c r="T19">
        <v>36.137500000000003</v>
      </c>
    </row>
    <row r="20" spans="3:20" ht="18" x14ac:dyDescent="0.35">
      <c r="C20" s="2" t="s">
        <v>18</v>
      </c>
      <c r="E20">
        <v>0</v>
      </c>
      <c r="J20">
        <v>14.036000000000001</v>
      </c>
      <c r="K20">
        <v>22.599000000000004</v>
      </c>
      <c r="L20">
        <v>30.575999999999997</v>
      </c>
      <c r="R20">
        <v>162.922</v>
      </c>
      <c r="T20">
        <v>320.95</v>
      </c>
    </row>
    <row r="21" spans="3:20" ht="18" x14ac:dyDescent="0.35">
      <c r="C21" s="2" t="s">
        <v>9</v>
      </c>
      <c r="E21">
        <v>0</v>
      </c>
      <c r="J21">
        <v>51.2</v>
      </c>
      <c r="K21">
        <v>33.759</v>
      </c>
      <c r="L21">
        <v>39.200000000000003</v>
      </c>
      <c r="R21">
        <v>242.59199999999998</v>
      </c>
      <c r="T21">
        <v>343.67199999999997</v>
      </c>
    </row>
    <row r="22" spans="3:20" ht="18" x14ac:dyDescent="0.35">
      <c r="C22" s="2" t="s">
        <v>19</v>
      </c>
      <c r="E22">
        <v>0</v>
      </c>
      <c r="J22">
        <v>32.489999999999995</v>
      </c>
      <c r="K22">
        <v>33.523999999999994</v>
      </c>
      <c r="L22">
        <v>36.821999999999996</v>
      </c>
      <c r="R22">
        <v>262.84800000000001</v>
      </c>
      <c r="T22">
        <v>480.20000000000005</v>
      </c>
    </row>
    <row r="23" spans="3:20" ht="18" x14ac:dyDescent="0.35">
      <c r="C23" s="2"/>
    </row>
    <row r="24" spans="3:20" ht="18" x14ac:dyDescent="0.35">
      <c r="C24" s="2"/>
    </row>
    <row r="25" spans="3:20" x14ac:dyDescent="0.3">
      <c r="E25" s="5"/>
    </row>
    <row r="27" spans="3:20" x14ac:dyDescent="0.3">
      <c r="E27">
        <f>AVERAGE(E8:E22)</f>
        <v>0</v>
      </c>
      <c r="J27">
        <f t="shared" ref="J27:T27" si="1">AVERAGE(J8:J22)</f>
        <v>20.477166666666669</v>
      </c>
      <c r="K27">
        <f t="shared" si="1"/>
        <v>22.564033333333334</v>
      </c>
      <c r="L27">
        <f t="shared" si="1"/>
        <v>28.961266666666667</v>
      </c>
      <c r="R27">
        <f t="shared" si="1"/>
        <v>228.29399999999998</v>
      </c>
      <c r="T27">
        <f t="shared" si="1"/>
        <v>465.15663333333328</v>
      </c>
    </row>
    <row r="28" spans="3:20" x14ac:dyDescent="0.3">
      <c r="K28" s="3"/>
    </row>
    <row r="29" spans="3:20" x14ac:dyDescent="0.3">
      <c r="E29">
        <f>STDEV(E8:E22)</f>
        <v>0</v>
      </c>
      <c r="J29">
        <f t="shared" ref="J29:T29" si="2">STDEV(J8:J22)</f>
        <v>12.038168537534904</v>
      </c>
      <c r="K29">
        <f t="shared" si="2"/>
        <v>7.6602157897305956</v>
      </c>
      <c r="L29">
        <f t="shared" si="2"/>
        <v>7.5134323687329418</v>
      </c>
      <c r="R29">
        <f t="shared" si="2"/>
        <v>129.40299112600584</v>
      </c>
      <c r="T29">
        <f t="shared" si="2"/>
        <v>352.15279916117714</v>
      </c>
    </row>
    <row r="43" spans="1:18" ht="18" x14ac:dyDescent="0.35">
      <c r="A43" s="2"/>
      <c r="R43" s="3"/>
    </row>
    <row r="44" spans="1:18" ht="18" x14ac:dyDescent="0.35">
      <c r="A44" s="2"/>
    </row>
    <row r="45" spans="1:18" ht="18" x14ac:dyDescent="0.35">
      <c r="A45" s="2"/>
    </row>
    <row r="46" spans="1:18" ht="18" x14ac:dyDescent="0.35">
      <c r="A46" s="2"/>
    </row>
    <row r="47" spans="1:18" ht="18" x14ac:dyDescent="0.35">
      <c r="A47" s="2"/>
    </row>
    <row r="48" spans="1:18" ht="18" x14ac:dyDescent="0.35">
      <c r="A48" s="2"/>
    </row>
    <row r="49" spans="1:18" ht="18" x14ac:dyDescent="0.35">
      <c r="A49" s="2"/>
    </row>
    <row r="50" spans="1:18" ht="18" x14ac:dyDescent="0.35">
      <c r="A50" s="2"/>
    </row>
    <row r="51" spans="1:18" ht="18" x14ac:dyDescent="0.35">
      <c r="A51" s="2"/>
    </row>
    <row r="52" spans="1:18" ht="18" x14ac:dyDescent="0.35">
      <c r="A52" s="2"/>
    </row>
    <row r="53" spans="1:18" ht="18" x14ac:dyDescent="0.35">
      <c r="A53" s="2"/>
    </row>
    <row r="54" spans="1:18" ht="18" x14ac:dyDescent="0.35">
      <c r="A54" s="2"/>
    </row>
    <row r="55" spans="1:18" ht="18" x14ac:dyDescent="0.35">
      <c r="A55" s="2"/>
    </row>
    <row r="56" spans="1:18" ht="18" x14ac:dyDescent="0.35">
      <c r="A56" s="2"/>
    </row>
    <row r="57" spans="1:18" ht="18" x14ac:dyDescent="0.35">
      <c r="A57" s="2"/>
    </row>
    <row r="58" spans="1:18" ht="18" x14ac:dyDescent="0.35">
      <c r="A58" s="2"/>
    </row>
    <row r="59" spans="1:18" ht="18" x14ac:dyDescent="0.35">
      <c r="A59" s="2"/>
    </row>
    <row r="60" spans="1:18" ht="18" x14ac:dyDescent="0.35">
      <c r="A60" s="2"/>
    </row>
    <row r="61" spans="1:18" ht="18" x14ac:dyDescent="0.35">
      <c r="A61" s="2"/>
      <c r="R61" s="3"/>
    </row>
    <row r="62" spans="1:18" ht="18" x14ac:dyDescent="0.35">
      <c r="A62" s="2"/>
      <c r="R62" s="3"/>
    </row>
    <row r="63" spans="1:18" ht="18" x14ac:dyDescent="0.35">
      <c r="A63" s="2"/>
    </row>
    <row r="64" spans="1:18" ht="18" x14ac:dyDescent="0.35">
      <c r="A64" s="2"/>
      <c r="R64" s="3"/>
    </row>
    <row r="65" spans="1:18" ht="18" x14ac:dyDescent="0.35">
      <c r="A65" s="2"/>
    </row>
    <row r="66" spans="1:18" ht="18" x14ac:dyDescent="0.35">
      <c r="A66" s="2"/>
      <c r="R66" s="3"/>
    </row>
    <row r="67" spans="1:18" ht="18" x14ac:dyDescent="0.35">
      <c r="A67" s="2"/>
    </row>
    <row r="68" spans="1:18" ht="18" x14ac:dyDescent="0.35">
      <c r="A68" s="2"/>
      <c r="R68" s="3"/>
    </row>
    <row r="69" spans="1:18" ht="18" x14ac:dyDescent="0.35">
      <c r="A69" s="2"/>
    </row>
    <row r="70" spans="1:18" ht="18" x14ac:dyDescent="0.35">
      <c r="A70" s="2"/>
    </row>
    <row r="71" spans="1:18" ht="18" x14ac:dyDescent="0.35">
      <c r="A71" s="2"/>
      <c r="O71" s="3"/>
    </row>
    <row r="72" spans="1:18" ht="18" x14ac:dyDescent="0.35">
      <c r="A72" s="2"/>
    </row>
  </sheetData>
  <pageMargins left="0.7" right="0.7" top="0.78740157499999996" bottom="0.78740157499999996" header="0.3" footer="0.3"/>
  <pageSetup paperSize="9" orientation="portrait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E30DB-BB14-4801-80B1-6F971885C651}">
  <dimension ref="A4:V72"/>
  <sheetViews>
    <sheetView zoomScale="55" workbookViewId="0">
      <selection activeCell="AE17" sqref="AE17"/>
    </sheetView>
  </sheetViews>
  <sheetFormatPr baseColWidth="10" defaultRowHeight="14.4" x14ac:dyDescent="0.3"/>
  <sheetData>
    <row r="4" spans="3:22" x14ac:dyDescent="0.3">
      <c r="K4" s="1"/>
    </row>
    <row r="6" spans="3:22" x14ac:dyDescent="0.3">
      <c r="D6" t="s">
        <v>0</v>
      </c>
      <c r="E6">
        <v>0</v>
      </c>
      <c r="F6">
        <v>1</v>
      </c>
      <c r="G6">
        <v>2</v>
      </c>
      <c r="H6">
        <v>3</v>
      </c>
      <c r="I6">
        <v>4</v>
      </c>
      <c r="J6">
        <v>5</v>
      </c>
      <c r="K6">
        <v>6</v>
      </c>
      <c r="L6">
        <v>7</v>
      </c>
      <c r="M6">
        <v>8</v>
      </c>
      <c r="N6">
        <v>9</v>
      </c>
      <c r="O6">
        <v>10</v>
      </c>
      <c r="P6">
        <v>11</v>
      </c>
      <c r="Q6">
        <v>12</v>
      </c>
      <c r="R6">
        <v>13</v>
      </c>
      <c r="S6">
        <v>14</v>
      </c>
      <c r="T6">
        <v>15</v>
      </c>
      <c r="U6" s="8">
        <v>16</v>
      </c>
      <c r="V6" s="8">
        <v>17</v>
      </c>
    </row>
    <row r="7" spans="3:22" x14ac:dyDescent="0.3">
      <c r="C7" t="s">
        <v>1</v>
      </c>
      <c r="U7" s="8"/>
      <c r="V7" s="8"/>
    </row>
    <row r="8" spans="3:22" ht="18" x14ac:dyDescent="0.35">
      <c r="C8" s="2">
        <v>1.1000000000000001</v>
      </c>
      <c r="E8">
        <f t="shared" ref="E8:E25" si="0">C8*D8*D8/2</f>
        <v>0</v>
      </c>
      <c r="I8">
        <v>0</v>
      </c>
      <c r="J8">
        <v>12</v>
      </c>
      <c r="P8">
        <v>27.831999999999997</v>
      </c>
      <c r="R8">
        <v>24.786000000000001</v>
      </c>
      <c r="T8">
        <v>27.332499999999996</v>
      </c>
      <c r="U8" s="8"/>
      <c r="V8" s="8"/>
    </row>
    <row r="9" spans="3:22" ht="18" x14ac:dyDescent="0.35">
      <c r="C9" s="2">
        <v>1.2</v>
      </c>
      <c r="E9">
        <f t="shared" si="0"/>
        <v>0</v>
      </c>
      <c r="I9">
        <v>0</v>
      </c>
      <c r="J9">
        <v>15.75</v>
      </c>
      <c r="P9">
        <v>37.647500000000008</v>
      </c>
      <c r="R9">
        <v>26.568000000000001</v>
      </c>
      <c r="T9">
        <v>25.725000000000001</v>
      </c>
      <c r="U9" s="8"/>
      <c r="V9" s="8"/>
    </row>
    <row r="10" spans="3:22" ht="18" x14ac:dyDescent="0.35">
      <c r="C10" s="2" t="s">
        <v>2</v>
      </c>
      <c r="E10">
        <f t="shared" si="0"/>
        <v>0</v>
      </c>
      <c r="I10">
        <v>0</v>
      </c>
      <c r="J10">
        <v>24.5</v>
      </c>
      <c r="P10">
        <v>46.746000000000002</v>
      </c>
      <c r="R10">
        <v>50.429999999999993</v>
      </c>
      <c r="T10">
        <v>98.3125</v>
      </c>
      <c r="U10" s="8"/>
      <c r="V10" s="8"/>
    </row>
    <row r="11" spans="3:22" ht="18" x14ac:dyDescent="0.35">
      <c r="C11" s="2" t="s">
        <v>3</v>
      </c>
      <c r="E11">
        <f t="shared" si="0"/>
        <v>0</v>
      </c>
      <c r="I11">
        <v>35.594000000000008</v>
      </c>
      <c r="J11">
        <v>75</v>
      </c>
      <c r="P11">
        <v>79.233000000000018</v>
      </c>
      <c r="R11">
        <v>153.60000000000002</v>
      </c>
      <c r="T11">
        <v>271.48350000000005</v>
      </c>
      <c r="U11" s="8"/>
      <c r="V11" s="8"/>
    </row>
    <row r="12" spans="3:22" ht="18" x14ac:dyDescent="0.35">
      <c r="C12" s="2" t="s">
        <v>4</v>
      </c>
      <c r="E12">
        <f t="shared" si="0"/>
        <v>0</v>
      </c>
      <c r="I12">
        <v>11.010499999999997</v>
      </c>
      <c r="J12">
        <v>17.1875</v>
      </c>
      <c r="P12">
        <v>65.268000000000001</v>
      </c>
      <c r="R12">
        <v>26.112000000000002</v>
      </c>
      <c r="T12">
        <v>6.2920000000000016</v>
      </c>
      <c r="U12" s="8"/>
      <c r="V12" s="8"/>
    </row>
    <row r="13" spans="3:22" ht="18" x14ac:dyDescent="0.35">
      <c r="C13" s="2" t="s">
        <v>25</v>
      </c>
      <c r="E13">
        <f t="shared" si="0"/>
        <v>0</v>
      </c>
      <c r="I13">
        <v>17.920000000000002</v>
      </c>
      <c r="J13">
        <v>18</v>
      </c>
      <c r="P13">
        <v>38.024999999999999</v>
      </c>
      <c r="R13">
        <v>38.808000000000007</v>
      </c>
      <c r="T13">
        <v>27.216000000000001</v>
      </c>
      <c r="U13" s="8"/>
      <c r="V13" s="8"/>
    </row>
    <row r="14" spans="3:22" ht="18" x14ac:dyDescent="0.35">
      <c r="C14" s="2" t="s">
        <v>24</v>
      </c>
      <c r="E14">
        <f t="shared" si="0"/>
        <v>0</v>
      </c>
      <c r="I14">
        <v>0</v>
      </c>
      <c r="J14">
        <v>36.75</v>
      </c>
      <c r="P14">
        <v>40.823999999999998</v>
      </c>
      <c r="R14">
        <v>43.808000000000007</v>
      </c>
      <c r="T14">
        <v>44.546499999999988</v>
      </c>
      <c r="U14" s="8"/>
      <c r="V14" s="8"/>
    </row>
    <row r="15" spans="3:22" ht="18" x14ac:dyDescent="0.35">
      <c r="C15" s="2" t="s">
        <v>23</v>
      </c>
      <c r="E15">
        <f t="shared" si="0"/>
        <v>0</v>
      </c>
      <c r="I15">
        <v>0</v>
      </c>
      <c r="J15">
        <v>24.5</v>
      </c>
      <c r="P15">
        <v>38.332000000000001</v>
      </c>
      <c r="R15">
        <v>31.849999999999998</v>
      </c>
      <c r="T15">
        <v>31.212</v>
      </c>
      <c r="U15" s="8"/>
      <c r="V15" s="8"/>
    </row>
    <row r="16" spans="3:22" ht="18" x14ac:dyDescent="0.35">
      <c r="C16" s="2" t="s">
        <v>22</v>
      </c>
      <c r="E16">
        <f t="shared" si="0"/>
        <v>0</v>
      </c>
      <c r="I16">
        <v>0</v>
      </c>
      <c r="J16">
        <v>31.5</v>
      </c>
      <c r="P16">
        <v>71.527499999999989</v>
      </c>
      <c r="R16">
        <v>24.986000000000001</v>
      </c>
      <c r="T16">
        <v>63.47999999999999</v>
      </c>
      <c r="U16" s="8"/>
      <c r="V16" s="8"/>
    </row>
    <row r="17" spans="3:22" ht="18" x14ac:dyDescent="0.35">
      <c r="C17" s="2" t="s">
        <v>5</v>
      </c>
      <c r="E17" s="4">
        <f t="shared" si="0"/>
        <v>0</v>
      </c>
      <c r="J17">
        <v>11.875</v>
      </c>
      <c r="K17">
        <v>15</v>
      </c>
      <c r="L17">
        <v>28.160000000000004</v>
      </c>
      <c r="R17">
        <v>82.944000000000003</v>
      </c>
      <c r="T17">
        <v>89.734499999999983</v>
      </c>
      <c r="U17" s="8"/>
      <c r="V17" s="8">
        <v>138.60000000000002</v>
      </c>
    </row>
    <row r="18" spans="3:22" ht="18" x14ac:dyDescent="0.35">
      <c r="C18" s="2" t="s">
        <v>6</v>
      </c>
      <c r="E18">
        <f t="shared" si="0"/>
        <v>0</v>
      </c>
      <c r="J18">
        <v>28.321999999999999</v>
      </c>
      <c r="K18">
        <v>25.92</v>
      </c>
      <c r="L18">
        <v>37.647500000000008</v>
      </c>
      <c r="R18">
        <v>94.101499999999987</v>
      </c>
      <c r="T18">
        <v>76.031999999999982</v>
      </c>
      <c r="U18" s="8"/>
      <c r="V18" s="8">
        <v>132.27800000000002</v>
      </c>
    </row>
    <row r="19" spans="3:22" ht="18" x14ac:dyDescent="0.35">
      <c r="C19" s="2" t="s">
        <v>7</v>
      </c>
      <c r="E19">
        <f t="shared" si="0"/>
        <v>0</v>
      </c>
      <c r="J19">
        <v>32.171500000000002</v>
      </c>
      <c r="K19">
        <v>16.128</v>
      </c>
      <c r="L19">
        <v>34.299999999999997</v>
      </c>
      <c r="R19">
        <v>137.67699999999999</v>
      </c>
      <c r="T19">
        <v>211.86450000000002</v>
      </c>
      <c r="U19" s="8"/>
      <c r="V19" s="8">
        <v>441.45000000000005</v>
      </c>
    </row>
    <row r="20" spans="3:22" ht="18" x14ac:dyDescent="0.35">
      <c r="C20" s="2" t="s">
        <v>8</v>
      </c>
      <c r="E20">
        <f t="shared" si="0"/>
        <v>0</v>
      </c>
      <c r="J20">
        <v>17.968499999999999</v>
      </c>
      <c r="K20">
        <v>19.651999999999997</v>
      </c>
      <c r="L20">
        <v>19.968000000000004</v>
      </c>
      <c r="R20">
        <v>83.1875</v>
      </c>
      <c r="T20">
        <v>61.05599999999999</v>
      </c>
      <c r="U20" s="8"/>
      <c r="V20" s="8">
        <v>87.813999999999993</v>
      </c>
    </row>
    <row r="21" spans="3:22" ht="18" x14ac:dyDescent="0.35">
      <c r="C21" s="2" t="s">
        <v>10</v>
      </c>
      <c r="E21">
        <f t="shared" si="0"/>
        <v>0</v>
      </c>
      <c r="J21">
        <v>8.1224999999999987</v>
      </c>
      <c r="K21">
        <v>27.449999999999996</v>
      </c>
      <c r="L21">
        <v>50.192999999999998</v>
      </c>
      <c r="R21">
        <v>163.79999999999998</v>
      </c>
      <c r="T21">
        <v>242.81100000000001</v>
      </c>
      <c r="U21" s="8"/>
      <c r="V21" s="8">
        <v>444.52800000000002</v>
      </c>
    </row>
    <row r="22" spans="3:22" ht="18" x14ac:dyDescent="0.35">
      <c r="C22" s="2" t="s">
        <v>11</v>
      </c>
      <c r="E22">
        <f t="shared" si="0"/>
        <v>0</v>
      </c>
      <c r="J22">
        <v>20.16</v>
      </c>
      <c r="K22">
        <v>19.308499999999999</v>
      </c>
      <c r="L22">
        <v>24.786000000000001</v>
      </c>
      <c r="R22">
        <v>24.421500000000005</v>
      </c>
      <c r="T22">
        <v>35.840000000000003</v>
      </c>
      <c r="U22" s="8"/>
      <c r="V22" s="8">
        <v>40.050000000000004</v>
      </c>
    </row>
    <row r="23" spans="3:22" ht="18" x14ac:dyDescent="0.35">
      <c r="C23" s="2" t="s">
        <v>21</v>
      </c>
      <c r="E23">
        <f t="shared" si="0"/>
        <v>0</v>
      </c>
      <c r="J23">
        <v>20.775999999999996</v>
      </c>
      <c r="K23">
        <v>23.849999999999998</v>
      </c>
      <c r="L23">
        <v>38.988</v>
      </c>
      <c r="R23">
        <v>94.936499999999981</v>
      </c>
      <c r="T23">
        <v>146.33399999999997</v>
      </c>
      <c r="U23" s="8"/>
      <c r="V23" s="8">
        <v>176.82400000000001</v>
      </c>
    </row>
    <row r="24" spans="3:22" ht="18" x14ac:dyDescent="0.35">
      <c r="C24" s="2" t="s">
        <v>20</v>
      </c>
      <c r="E24">
        <f t="shared" si="0"/>
        <v>0</v>
      </c>
      <c r="J24">
        <v>15.287999999999998</v>
      </c>
      <c r="K24">
        <v>8</v>
      </c>
      <c r="L24">
        <v>12.393000000000001</v>
      </c>
      <c r="R24">
        <v>32</v>
      </c>
      <c r="T24">
        <v>16.650000000000002</v>
      </c>
      <c r="U24" s="8"/>
      <c r="V24" s="8">
        <v>36.1</v>
      </c>
    </row>
    <row r="25" spans="3:22" x14ac:dyDescent="0.3">
      <c r="C25">
        <v>2.9</v>
      </c>
      <c r="E25" s="5">
        <f t="shared" si="0"/>
        <v>0</v>
      </c>
      <c r="J25">
        <v>12.2</v>
      </c>
      <c r="K25">
        <v>13.717999999999998</v>
      </c>
      <c r="L25">
        <v>26.973000000000006</v>
      </c>
      <c r="R25">
        <v>181.01200000000003</v>
      </c>
      <c r="T25">
        <v>181.01200000000003</v>
      </c>
      <c r="U25" s="8"/>
      <c r="V25" s="7">
        <v>427.5</v>
      </c>
    </row>
    <row r="27" spans="3:22" x14ac:dyDescent="0.3">
      <c r="E27">
        <f>AVERAGE(E8:E25)</f>
        <v>0</v>
      </c>
      <c r="I27">
        <f>AVERAGE(I8:I25)</f>
        <v>7.1693888888888893</v>
      </c>
      <c r="J27">
        <f>AVERAGE(J8:J25)</f>
        <v>23.448388888888889</v>
      </c>
      <c r="K27">
        <f>AVERAGE(K8:K25)</f>
        <v>18.780722222222224</v>
      </c>
      <c r="L27">
        <f>AVERAGE(L8:L25)</f>
        <v>30.378722222222223</v>
      </c>
      <c r="P27">
        <f>AVERAGE(P8:P25)</f>
        <v>49.492777777777775</v>
      </c>
      <c r="R27">
        <f>AVERAGE(R8:R25)</f>
        <v>73.057111111111112</v>
      </c>
      <c r="T27">
        <f>AVERAGE(T8:T25)</f>
        <v>92.051888888888882</v>
      </c>
      <c r="V27">
        <f>AVERAGE(V8:V25)</f>
        <v>213.90488888888888</v>
      </c>
    </row>
    <row r="28" spans="3:22" x14ac:dyDescent="0.3">
      <c r="K28" s="3"/>
    </row>
    <row r="29" spans="3:22" x14ac:dyDescent="0.3">
      <c r="E29">
        <f>STDEV(E8:E25)</f>
        <v>0</v>
      </c>
      <c r="I29">
        <f>STDEV(I8:I25)</f>
        <v>12.483434587929365</v>
      </c>
      <c r="J29">
        <f>STDEV(J8:J25)</f>
        <v>15.089009731039297</v>
      </c>
      <c r="K29">
        <f>STDEV(K8:K25)</f>
        <v>6.2853683220989067</v>
      </c>
      <c r="L29">
        <f>STDEV(L8:L25)</f>
        <v>11.261695989922854</v>
      </c>
      <c r="P29">
        <f>STDEV(P8:P25)</f>
        <v>17.913447187293269</v>
      </c>
      <c r="R29">
        <f>STDEV(R8:R25)</f>
        <v>53.670570498495614</v>
      </c>
      <c r="T29">
        <f>STDEV(T8:T25)</f>
        <v>83.019347710702107</v>
      </c>
      <c r="V29">
        <f>STDEV(V8:V25)</f>
        <v>173.93765018854063</v>
      </c>
    </row>
    <row r="43" spans="1:18" ht="18" x14ac:dyDescent="0.35">
      <c r="A43" s="2"/>
      <c r="R43" s="3"/>
    </row>
    <row r="44" spans="1:18" ht="18" x14ac:dyDescent="0.35">
      <c r="A44" s="2"/>
    </row>
    <row r="45" spans="1:18" ht="18" x14ac:dyDescent="0.35">
      <c r="A45" s="2"/>
    </row>
    <row r="46" spans="1:18" ht="18" x14ac:dyDescent="0.35">
      <c r="A46" s="2"/>
    </row>
    <row r="47" spans="1:18" ht="18" x14ac:dyDescent="0.35">
      <c r="A47" s="2"/>
    </row>
    <row r="48" spans="1:18" ht="18" x14ac:dyDescent="0.35">
      <c r="A48" s="2"/>
    </row>
    <row r="49" spans="1:18" ht="18" x14ac:dyDescent="0.35">
      <c r="A49" s="2"/>
    </row>
    <row r="50" spans="1:18" ht="18" x14ac:dyDescent="0.35">
      <c r="A50" s="2"/>
    </row>
    <row r="51" spans="1:18" ht="18" x14ac:dyDescent="0.35">
      <c r="A51" s="2"/>
    </row>
    <row r="52" spans="1:18" ht="18" x14ac:dyDescent="0.35">
      <c r="A52" s="2"/>
    </row>
    <row r="53" spans="1:18" ht="18" x14ac:dyDescent="0.35">
      <c r="A53" s="2"/>
    </row>
    <row r="54" spans="1:18" ht="18" x14ac:dyDescent="0.35">
      <c r="A54" s="2"/>
    </row>
    <row r="55" spans="1:18" ht="18" x14ac:dyDescent="0.35">
      <c r="A55" s="2"/>
    </row>
    <row r="56" spans="1:18" ht="18" x14ac:dyDescent="0.35">
      <c r="A56" s="2"/>
    </row>
    <row r="57" spans="1:18" ht="18" x14ac:dyDescent="0.35">
      <c r="A57" s="2"/>
    </row>
    <row r="58" spans="1:18" ht="18" x14ac:dyDescent="0.35">
      <c r="A58" s="2"/>
    </row>
    <row r="59" spans="1:18" ht="18" x14ac:dyDescent="0.35">
      <c r="A59" s="2"/>
    </row>
    <row r="60" spans="1:18" ht="18" x14ac:dyDescent="0.35">
      <c r="A60" s="2"/>
    </row>
    <row r="61" spans="1:18" ht="18" x14ac:dyDescent="0.35">
      <c r="A61" s="2"/>
      <c r="R61" s="3"/>
    </row>
    <row r="62" spans="1:18" ht="18" x14ac:dyDescent="0.35">
      <c r="A62" s="2"/>
      <c r="R62" s="3"/>
    </row>
    <row r="63" spans="1:18" ht="18" x14ac:dyDescent="0.35">
      <c r="A63" s="2"/>
    </row>
    <row r="64" spans="1:18" ht="18" x14ac:dyDescent="0.35">
      <c r="A64" s="2"/>
      <c r="R64" s="3"/>
    </row>
    <row r="65" spans="1:18" ht="18" x14ac:dyDescent="0.35">
      <c r="A65" s="2"/>
    </row>
    <row r="66" spans="1:18" ht="18" x14ac:dyDescent="0.35">
      <c r="A66" s="2"/>
      <c r="R66" s="3"/>
    </row>
    <row r="67" spans="1:18" ht="18" x14ac:dyDescent="0.35">
      <c r="A67" s="2"/>
    </row>
    <row r="68" spans="1:18" ht="18" x14ac:dyDescent="0.35">
      <c r="A68" s="2"/>
      <c r="R68" s="3"/>
    </row>
    <row r="69" spans="1:18" ht="18" x14ac:dyDescent="0.35">
      <c r="A69" s="2"/>
    </row>
    <row r="70" spans="1:18" ht="18" x14ac:dyDescent="0.35">
      <c r="A70" s="2"/>
    </row>
    <row r="71" spans="1:18" ht="18" x14ac:dyDescent="0.35">
      <c r="A71" s="2"/>
      <c r="O71" s="3"/>
    </row>
    <row r="72" spans="1:18" ht="18" x14ac:dyDescent="0.35">
      <c r="A72" s="2"/>
    </row>
  </sheetData>
  <pageMargins left="0.7" right="0.7" top="0.78740157499999996" bottom="0.78740157499999996" header="0.3" footer="0.3"/>
  <pageSetup paperSize="9" orientation="portrait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03C23-076E-4044-872A-1AC6C72692F9}">
  <dimension ref="A4:W72"/>
  <sheetViews>
    <sheetView zoomScale="55" workbookViewId="0">
      <selection activeCell="AC43" sqref="AC43"/>
    </sheetView>
  </sheetViews>
  <sheetFormatPr baseColWidth="10" defaultRowHeight="14.4" x14ac:dyDescent="0.3"/>
  <sheetData>
    <row r="4" spans="3:23" x14ac:dyDescent="0.3">
      <c r="K4" s="1"/>
    </row>
    <row r="6" spans="3:23" x14ac:dyDescent="0.3">
      <c r="D6" t="s">
        <v>0</v>
      </c>
      <c r="E6">
        <v>0</v>
      </c>
      <c r="F6">
        <v>1</v>
      </c>
      <c r="G6">
        <v>2</v>
      </c>
      <c r="H6">
        <v>3</v>
      </c>
      <c r="I6">
        <v>4</v>
      </c>
      <c r="J6">
        <v>5</v>
      </c>
      <c r="K6">
        <v>6</v>
      </c>
      <c r="L6">
        <v>7</v>
      </c>
      <c r="M6">
        <v>8</v>
      </c>
      <c r="N6">
        <v>9</v>
      </c>
      <c r="O6">
        <v>10</v>
      </c>
      <c r="P6">
        <v>11</v>
      </c>
      <c r="Q6">
        <v>12</v>
      </c>
      <c r="R6">
        <v>13</v>
      </c>
      <c r="S6">
        <v>14</v>
      </c>
      <c r="T6">
        <v>15</v>
      </c>
      <c r="U6" s="8">
        <v>16</v>
      </c>
      <c r="V6" s="8">
        <v>17</v>
      </c>
      <c r="W6" s="8">
        <v>18</v>
      </c>
    </row>
    <row r="7" spans="3:23" x14ac:dyDescent="0.3">
      <c r="C7" t="s">
        <v>1</v>
      </c>
      <c r="U7" s="8"/>
      <c r="V7" s="8"/>
      <c r="W7" s="8"/>
    </row>
    <row r="8" spans="3:23" ht="18" x14ac:dyDescent="0.35">
      <c r="C8" s="2">
        <v>1.1000000000000001</v>
      </c>
      <c r="E8">
        <v>0</v>
      </c>
      <c r="I8">
        <v>0</v>
      </c>
      <c r="J8">
        <v>18</v>
      </c>
      <c r="P8">
        <v>18</v>
      </c>
      <c r="R8">
        <v>36.503999999999998</v>
      </c>
      <c r="T8">
        <v>70.82950000000001</v>
      </c>
      <c r="U8" s="8"/>
      <c r="V8" s="8"/>
      <c r="W8" s="8">
        <v>187.91049999999996</v>
      </c>
    </row>
    <row r="9" spans="3:23" ht="18" x14ac:dyDescent="0.35">
      <c r="C9" s="2">
        <v>1.2</v>
      </c>
      <c r="E9">
        <v>0</v>
      </c>
      <c r="I9">
        <v>0</v>
      </c>
      <c r="J9">
        <v>15.625</v>
      </c>
      <c r="P9">
        <v>33.540500000000009</v>
      </c>
      <c r="R9">
        <v>18.081499999999998</v>
      </c>
      <c r="T9">
        <v>16.399499999999996</v>
      </c>
      <c r="U9" s="8"/>
      <c r="V9" s="8"/>
      <c r="W9" s="8">
        <v>27.864000000000001</v>
      </c>
    </row>
    <row r="10" spans="3:23" ht="18" x14ac:dyDescent="0.35">
      <c r="C10" s="2" t="s">
        <v>2</v>
      </c>
      <c r="E10">
        <v>0</v>
      </c>
      <c r="I10">
        <v>0</v>
      </c>
      <c r="J10">
        <v>27</v>
      </c>
      <c r="P10">
        <v>12.8</v>
      </c>
      <c r="R10">
        <v>12.960499999999998</v>
      </c>
      <c r="T10">
        <v>11.686500000000001</v>
      </c>
      <c r="U10" s="8"/>
      <c r="V10" s="8"/>
      <c r="W10" s="8">
        <v>21.5625</v>
      </c>
    </row>
    <row r="11" spans="3:23" ht="18" x14ac:dyDescent="0.35">
      <c r="C11" s="2" t="s">
        <v>3</v>
      </c>
      <c r="E11">
        <v>0</v>
      </c>
      <c r="I11">
        <v>0</v>
      </c>
      <c r="J11">
        <v>36.75</v>
      </c>
      <c r="P11">
        <v>14.520000000000003</v>
      </c>
      <c r="R11">
        <v>22.963500000000003</v>
      </c>
      <c r="T11">
        <v>11.848999999999998</v>
      </c>
      <c r="U11" s="8"/>
      <c r="V11" s="8"/>
      <c r="W11" s="8">
        <v>19.007999999999996</v>
      </c>
    </row>
    <row r="12" spans="3:23" ht="18" x14ac:dyDescent="0.35">
      <c r="C12" s="2" t="s">
        <v>4</v>
      </c>
      <c r="E12">
        <v>0</v>
      </c>
      <c r="I12">
        <v>0</v>
      </c>
      <c r="J12">
        <v>44</v>
      </c>
      <c r="P12">
        <v>40</v>
      </c>
      <c r="R12">
        <v>92.596500000000006</v>
      </c>
      <c r="T12">
        <v>102.68950000000001</v>
      </c>
      <c r="U12" s="8"/>
      <c r="V12" s="8"/>
      <c r="W12" s="8">
        <v>184.95999999999998</v>
      </c>
    </row>
    <row r="13" spans="3:23" ht="18" x14ac:dyDescent="0.35">
      <c r="C13" s="2" t="s">
        <v>25</v>
      </c>
      <c r="E13">
        <v>0</v>
      </c>
      <c r="I13">
        <v>16.650000000000002</v>
      </c>
      <c r="J13">
        <v>12</v>
      </c>
      <c r="P13">
        <v>20.25</v>
      </c>
      <c r="R13">
        <v>24.853999999999999</v>
      </c>
      <c r="T13">
        <v>56.699999999999996</v>
      </c>
      <c r="U13" s="8"/>
      <c r="V13" s="8"/>
      <c r="W13" s="8">
        <v>231.04</v>
      </c>
    </row>
    <row r="14" spans="3:23" ht="18" x14ac:dyDescent="0.35">
      <c r="C14" s="2" t="s">
        <v>24</v>
      </c>
      <c r="E14">
        <v>0</v>
      </c>
      <c r="I14">
        <v>0</v>
      </c>
      <c r="J14">
        <v>33.75</v>
      </c>
      <c r="P14">
        <v>30.625</v>
      </c>
      <c r="R14">
        <v>8.1340000000000003</v>
      </c>
      <c r="T14">
        <v>24.192</v>
      </c>
      <c r="U14" s="8"/>
      <c r="V14" s="8"/>
      <c r="W14" s="8">
        <v>32.927999999999997</v>
      </c>
    </row>
    <row r="15" spans="3:23" ht="18" x14ac:dyDescent="0.35">
      <c r="C15" s="2" t="s">
        <v>23</v>
      </c>
      <c r="E15">
        <v>0</v>
      </c>
      <c r="I15">
        <v>14.196000000000003</v>
      </c>
      <c r="J15">
        <v>22.5</v>
      </c>
      <c r="P15">
        <v>10.579999999999998</v>
      </c>
      <c r="R15">
        <v>11.2455</v>
      </c>
      <c r="T15">
        <v>9.7020000000000017</v>
      </c>
      <c r="U15" s="8"/>
      <c r="V15" s="8"/>
      <c r="W15" s="8">
        <v>14</v>
      </c>
    </row>
    <row r="16" spans="3:23" ht="18" x14ac:dyDescent="0.35">
      <c r="C16" s="2" t="s">
        <v>22</v>
      </c>
      <c r="E16">
        <v>0</v>
      </c>
      <c r="I16">
        <v>13.5</v>
      </c>
      <c r="J16">
        <v>18</v>
      </c>
      <c r="P16">
        <v>10.368</v>
      </c>
      <c r="R16">
        <v>4</v>
      </c>
      <c r="T16">
        <v>4.6929999999999996</v>
      </c>
      <c r="U16" s="8"/>
      <c r="V16" s="8"/>
      <c r="W16" s="8">
        <v>5.1840000000000011</v>
      </c>
    </row>
    <row r="17" spans="3:23" ht="18" x14ac:dyDescent="0.35">
      <c r="C17" s="2" t="s">
        <v>5</v>
      </c>
      <c r="E17">
        <v>0</v>
      </c>
      <c r="J17">
        <v>6.6420000000000003</v>
      </c>
      <c r="K17">
        <v>16.855999999999998</v>
      </c>
      <c r="L17">
        <v>16.128</v>
      </c>
      <c r="R17">
        <v>6.3179999999999996</v>
      </c>
      <c r="T17">
        <v>8.1585000000000001</v>
      </c>
      <c r="U17" s="8"/>
      <c r="V17" s="8">
        <v>5.7600000000000007</v>
      </c>
      <c r="W17" s="8"/>
    </row>
    <row r="18" spans="3:23" ht="18" x14ac:dyDescent="0.35">
      <c r="C18" s="2" t="s">
        <v>6</v>
      </c>
      <c r="E18">
        <v>0</v>
      </c>
      <c r="J18">
        <v>9.7020000000000017</v>
      </c>
      <c r="K18">
        <v>17.908000000000001</v>
      </c>
      <c r="L18">
        <v>31.5</v>
      </c>
      <c r="R18">
        <v>59.2</v>
      </c>
      <c r="T18">
        <v>57.994499999999995</v>
      </c>
      <c r="U18" s="8"/>
      <c r="V18" s="8">
        <v>90.037500000000009</v>
      </c>
      <c r="W18" s="8"/>
    </row>
    <row r="19" spans="3:23" ht="18" x14ac:dyDescent="0.35">
      <c r="C19" s="2" t="s">
        <v>7</v>
      </c>
      <c r="E19">
        <v>0</v>
      </c>
      <c r="J19">
        <v>22.343999999999998</v>
      </c>
      <c r="K19">
        <v>15.435000000000002</v>
      </c>
      <c r="L19">
        <v>39.200000000000003</v>
      </c>
      <c r="R19">
        <v>80.64</v>
      </c>
      <c r="T19">
        <v>147.94250000000002</v>
      </c>
      <c r="U19" s="8"/>
      <c r="V19" s="8">
        <v>173.0265</v>
      </c>
      <c r="W19" s="8"/>
    </row>
    <row r="20" spans="3:23" ht="18" x14ac:dyDescent="0.35">
      <c r="C20" s="2" t="s">
        <v>8</v>
      </c>
      <c r="E20">
        <v>0</v>
      </c>
      <c r="J20">
        <v>16.82</v>
      </c>
      <c r="K20">
        <v>19.118000000000006</v>
      </c>
      <c r="L20">
        <v>22.1875</v>
      </c>
      <c r="R20">
        <v>18.876000000000001</v>
      </c>
      <c r="T20">
        <v>33.319999999999993</v>
      </c>
      <c r="U20" s="8"/>
      <c r="V20" s="8">
        <v>21.296000000000006</v>
      </c>
      <c r="W20" s="8"/>
    </row>
    <row r="21" spans="3:23" ht="18" x14ac:dyDescent="0.35">
      <c r="C21" s="2" t="s">
        <v>10</v>
      </c>
      <c r="E21">
        <v>0</v>
      </c>
      <c r="J21">
        <v>17.660999999999998</v>
      </c>
      <c r="K21">
        <v>10.693</v>
      </c>
      <c r="L21">
        <v>19.308499999999999</v>
      </c>
      <c r="R21">
        <v>11.4</v>
      </c>
      <c r="T21">
        <v>12.093500000000001</v>
      </c>
      <c r="U21" s="8"/>
      <c r="V21" s="8">
        <v>10.259499999999999</v>
      </c>
      <c r="W21" s="8"/>
    </row>
    <row r="22" spans="3:23" ht="18" x14ac:dyDescent="0.35">
      <c r="C22" s="2" t="s">
        <v>11</v>
      </c>
      <c r="E22">
        <v>0</v>
      </c>
      <c r="J22">
        <v>9.9274999999999984</v>
      </c>
      <c r="K22">
        <v>16.25</v>
      </c>
      <c r="L22">
        <v>27.388500000000004</v>
      </c>
      <c r="R22">
        <v>21.559999999999995</v>
      </c>
      <c r="T22">
        <v>16.128</v>
      </c>
      <c r="U22" s="8"/>
      <c r="V22" s="8">
        <v>11</v>
      </c>
      <c r="W22" s="8"/>
    </row>
    <row r="23" spans="3:23" ht="18" x14ac:dyDescent="0.35">
      <c r="C23" s="2" t="s">
        <v>21</v>
      </c>
      <c r="E23">
        <v>0</v>
      </c>
      <c r="J23">
        <v>13.552000000000001</v>
      </c>
      <c r="K23">
        <v>23.849999999999998</v>
      </c>
      <c r="L23">
        <v>34.992000000000004</v>
      </c>
      <c r="R23">
        <v>132.5</v>
      </c>
      <c r="T23">
        <v>92.45</v>
      </c>
      <c r="U23" s="8"/>
      <c r="V23" s="8">
        <v>127.44899999999998</v>
      </c>
      <c r="W23" s="8"/>
    </row>
    <row r="24" spans="3:23" ht="18" x14ac:dyDescent="0.35">
      <c r="C24" s="2" t="s">
        <v>20</v>
      </c>
      <c r="E24">
        <v>0</v>
      </c>
      <c r="J24">
        <v>21.142000000000003</v>
      </c>
      <c r="K24">
        <v>47.908499999999989</v>
      </c>
      <c r="L24">
        <v>77.064000000000007</v>
      </c>
      <c r="R24">
        <v>136.24199999999999</v>
      </c>
      <c r="T24">
        <v>188.416</v>
      </c>
      <c r="U24" s="8"/>
      <c r="V24" s="8">
        <v>363.38400000000007</v>
      </c>
      <c r="W24" s="8"/>
    </row>
    <row r="25" spans="3:23" x14ac:dyDescent="0.3">
      <c r="C25">
        <v>2.9</v>
      </c>
      <c r="E25">
        <v>0</v>
      </c>
      <c r="J25">
        <v>13.536</v>
      </c>
      <c r="K25">
        <v>14.375</v>
      </c>
      <c r="L25">
        <v>28.512000000000004</v>
      </c>
      <c r="R25">
        <v>23.119999999999997</v>
      </c>
      <c r="T25">
        <v>22.583500000000001</v>
      </c>
      <c r="U25" s="8"/>
      <c r="V25" s="8">
        <v>20.184000000000001</v>
      </c>
      <c r="W25" s="8"/>
    </row>
    <row r="26" spans="3:23" x14ac:dyDescent="0.3">
      <c r="C26">
        <v>3.1</v>
      </c>
      <c r="E26">
        <v>0</v>
      </c>
      <c r="J26">
        <v>20.184000000000001</v>
      </c>
      <c r="K26">
        <v>35.300999999999995</v>
      </c>
      <c r="L26">
        <v>30.055999999999997</v>
      </c>
      <c r="R26">
        <v>22.528000000000006</v>
      </c>
      <c r="T26">
        <v>30.208000000000006</v>
      </c>
      <c r="U26" s="8"/>
      <c r="V26" s="8"/>
      <c r="W26" s="8">
        <v>32.125499999999995</v>
      </c>
    </row>
    <row r="27" spans="3:23" x14ac:dyDescent="0.3">
      <c r="C27">
        <v>3.2</v>
      </c>
      <c r="E27">
        <v>0</v>
      </c>
      <c r="J27">
        <v>12.4</v>
      </c>
      <c r="K27">
        <v>23.911999999999995</v>
      </c>
      <c r="L27">
        <v>34.3035</v>
      </c>
      <c r="R27">
        <v>26.655999999999999</v>
      </c>
      <c r="T27">
        <v>33.300000000000004</v>
      </c>
      <c r="U27" s="8"/>
      <c r="V27" s="8"/>
      <c r="W27" s="8">
        <v>17.666000000000004</v>
      </c>
    </row>
    <row r="28" spans="3:23" x14ac:dyDescent="0.3">
      <c r="C28">
        <v>3.3</v>
      </c>
      <c r="E28">
        <v>0</v>
      </c>
      <c r="J28">
        <v>16.224</v>
      </c>
      <c r="K28">
        <v>16.224</v>
      </c>
      <c r="L28">
        <v>44.8</v>
      </c>
      <c r="R28">
        <v>80.64</v>
      </c>
      <c r="T28">
        <v>99.824999999999989</v>
      </c>
      <c r="U28" s="8"/>
      <c r="V28" s="8"/>
      <c r="W28" s="8">
        <v>162</v>
      </c>
    </row>
    <row r="29" spans="3:23" x14ac:dyDescent="0.3">
      <c r="C29">
        <v>3.4</v>
      </c>
      <c r="E29">
        <v>0</v>
      </c>
      <c r="J29">
        <v>21.559999999999995</v>
      </c>
      <c r="K29">
        <v>39.016500000000008</v>
      </c>
      <c r="L29">
        <v>41.184499999999993</v>
      </c>
      <c r="R29">
        <v>60.515999999999991</v>
      </c>
      <c r="T29">
        <v>166.69800000000001</v>
      </c>
      <c r="U29" s="8"/>
      <c r="V29" s="8"/>
      <c r="W29" s="8">
        <v>255.52799999999999</v>
      </c>
    </row>
    <row r="30" spans="3:23" x14ac:dyDescent="0.3">
      <c r="C30">
        <v>3.5</v>
      </c>
      <c r="E30">
        <v>0</v>
      </c>
      <c r="J30">
        <v>11</v>
      </c>
      <c r="K30">
        <v>19.3185</v>
      </c>
      <c r="L30">
        <v>20.617999999999999</v>
      </c>
      <c r="R30">
        <v>27.136000000000003</v>
      </c>
      <c r="T30">
        <v>13.671000000000001</v>
      </c>
      <c r="U30" s="8"/>
      <c r="V30" s="8"/>
      <c r="W30" s="8">
        <v>13.068000000000003</v>
      </c>
    </row>
    <row r="31" spans="3:23" x14ac:dyDescent="0.3">
      <c r="C31">
        <v>3.6</v>
      </c>
      <c r="E31">
        <v>0</v>
      </c>
      <c r="J31">
        <v>26.624000000000002</v>
      </c>
      <c r="K31">
        <v>28.349999999999998</v>
      </c>
      <c r="L31">
        <v>36.992000000000004</v>
      </c>
      <c r="R31">
        <v>193.49199999999999</v>
      </c>
      <c r="T31">
        <v>222.02399999999997</v>
      </c>
      <c r="U31" s="8"/>
      <c r="V31" s="8"/>
      <c r="W31" s="7">
        <v>331.66249999999997</v>
      </c>
    </row>
    <row r="32" spans="3:23" x14ac:dyDescent="0.3">
      <c r="C32">
        <v>3.7</v>
      </c>
      <c r="E32">
        <v>0</v>
      </c>
      <c r="J32">
        <v>17.496000000000002</v>
      </c>
      <c r="K32">
        <v>20.383999999999997</v>
      </c>
      <c r="L32">
        <v>23.692500000000003</v>
      </c>
      <c r="R32">
        <v>33.28</v>
      </c>
      <c r="T32">
        <v>32.673999999999999</v>
      </c>
      <c r="U32" s="8"/>
      <c r="V32" s="8"/>
      <c r="W32" s="8">
        <v>50.539999999999992</v>
      </c>
    </row>
    <row r="33" spans="1:23" x14ac:dyDescent="0.3">
      <c r="C33">
        <v>3.8</v>
      </c>
      <c r="E33">
        <v>0</v>
      </c>
      <c r="J33">
        <v>17.639999999999997</v>
      </c>
      <c r="K33">
        <v>23.127999999999997</v>
      </c>
      <c r="L33">
        <v>26.071000000000002</v>
      </c>
      <c r="R33">
        <v>43.487499999999997</v>
      </c>
      <c r="T33">
        <v>67.914000000000016</v>
      </c>
      <c r="U33" s="8"/>
      <c r="V33" s="8"/>
      <c r="W33" s="8">
        <v>42.875</v>
      </c>
    </row>
    <row r="34" spans="1:23" x14ac:dyDescent="0.3">
      <c r="C34">
        <v>3.9</v>
      </c>
      <c r="E34">
        <v>0</v>
      </c>
      <c r="J34">
        <v>62.813999999999986</v>
      </c>
      <c r="K34">
        <v>44.104499999999994</v>
      </c>
      <c r="L34">
        <v>41.067</v>
      </c>
      <c r="R34">
        <v>97.344000000000023</v>
      </c>
      <c r="T34">
        <v>69.761499999999998</v>
      </c>
      <c r="U34" s="8"/>
      <c r="V34" s="8"/>
      <c r="W34" s="8">
        <v>110.41249999999999</v>
      </c>
    </row>
    <row r="35" spans="1:23" x14ac:dyDescent="0.3">
      <c r="U35" s="8"/>
      <c r="V35" s="8"/>
      <c r="W35" s="8"/>
    </row>
    <row r="36" spans="1:23" x14ac:dyDescent="0.3">
      <c r="U36" s="8"/>
      <c r="V36" s="8"/>
      <c r="W36" s="8"/>
    </row>
    <row r="37" spans="1:23" x14ac:dyDescent="0.3">
      <c r="U37" s="8"/>
      <c r="V37" s="8"/>
      <c r="W37" s="8"/>
    </row>
    <row r="38" spans="1:23" x14ac:dyDescent="0.3">
      <c r="U38" s="8"/>
      <c r="V38" s="8"/>
      <c r="W38" s="8"/>
    </row>
    <row r="39" spans="1:23" x14ac:dyDescent="0.3">
      <c r="E39">
        <f>AVERAGE(E8:E34)</f>
        <v>0</v>
      </c>
      <c r="I39">
        <f t="shared" ref="I39:W39" si="0">AVERAGE(I8:I34)</f>
        <v>4.9273333333333333</v>
      </c>
      <c r="J39">
        <f t="shared" si="0"/>
        <v>20.921981481481481</v>
      </c>
      <c r="K39">
        <f t="shared" si="0"/>
        <v>24.007333333333332</v>
      </c>
      <c r="L39">
        <f t="shared" si="0"/>
        <v>33.05916666666667</v>
      </c>
      <c r="P39">
        <f t="shared" si="0"/>
        <v>21.187055555555553</v>
      </c>
      <c r="R39">
        <f t="shared" si="0"/>
        <v>48.380555555555553</v>
      </c>
      <c r="T39">
        <f t="shared" si="0"/>
        <v>60.144555555555556</v>
      </c>
      <c r="U39" s="8"/>
      <c r="V39" s="8">
        <f t="shared" si="0"/>
        <v>91.377388888888902</v>
      </c>
      <c r="W39" s="8">
        <f t="shared" si="0"/>
        <v>96.685249999999982</v>
      </c>
    </row>
    <row r="40" spans="1:23" x14ac:dyDescent="0.3">
      <c r="K40" s="3"/>
      <c r="U40" s="8"/>
      <c r="V40" s="8"/>
      <c r="W40" s="8"/>
    </row>
    <row r="41" spans="1:23" x14ac:dyDescent="0.3">
      <c r="E41">
        <f>STDEV(E8:E34)</f>
        <v>0</v>
      </c>
      <c r="I41">
        <f t="shared" ref="I41:W41" si="1">STDEV(I8:I34)</f>
        <v>7.437165051281303</v>
      </c>
      <c r="J41">
        <f t="shared" si="1"/>
        <v>11.93731632036012</v>
      </c>
      <c r="K41">
        <f t="shared" si="1"/>
        <v>10.735611774671746</v>
      </c>
      <c r="L41">
        <f t="shared" si="1"/>
        <v>13.746557427867048</v>
      </c>
      <c r="P41">
        <f t="shared" si="1"/>
        <v>10.90297311070599</v>
      </c>
      <c r="R41">
        <f t="shared" si="1"/>
        <v>47.329124749812699</v>
      </c>
      <c r="T41">
        <f t="shared" si="1"/>
        <v>59.98369277054411</v>
      </c>
      <c r="U41" s="8"/>
      <c r="V41" s="8">
        <f t="shared" si="1"/>
        <v>118.48417815070759</v>
      </c>
      <c r="W41" s="8">
        <f t="shared" si="1"/>
        <v>102.09052960690879</v>
      </c>
    </row>
    <row r="43" spans="1:23" ht="18" x14ac:dyDescent="0.35">
      <c r="A43" s="2"/>
      <c r="R43" s="3"/>
    </row>
    <row r="44" spans="1:23" ht="18" x14ac:dyDescent="0.35">
      <c r="A44" s="2"/>
    </row>
    <row r="45" spans="1:23" ht="18" x14ac:dyDescent="0.35">
      <c r="A45" s="2"/>
    </row>
    <row r="46" spans="1:23" ht="18" x14ac:dyDescent="0.35">
      <c r="A46" s="2"/>
    </row>
    <row r="47" spans="1:23" ht="18" x14ac:dyDescent="0.35">
      <c r="A47" s="2"/>
    </row>
    <row r="48" spans="1:23" ht="18" x14ac:dyDescent="0.35">
      <c r="A48" s="2"/>
    </row>
    <row r="49" spans="1:18" ht="18" x14ac:dyDescent="0.35">
      <c r="A49" s="2"/>
    </row>
    <row r="50" spans="1:18" ht="18" x14ac:dyDescent="0.35">
      <c r="A50" s="2"/>
    </row>
    <row r="51" spans="1:18" ht="18" x14ac:dyDescent="0.35">
      <c r="A51" s="2"/>
    </row>
    <row r="52" spans="1:18" ht="18" x14ac:dyDescent="0.35">
      <c r="A52" s="2"/>
    </row>
    <row r="53" spans="1:18" ht="18" x14ac:dyDescent="0.35">
      <c r="A53" s="2"/>
    </row>
    <row r="54" spans="1:18" ht="18" x14ac:dyDescent="0.35">
      <c r="A54" s="2"/>
    </row>
    <row r="55" spans="1:18" ht="18" x14ac:dyDescent="0.35">
      <c r="A55" s="2"/>
    </row>
    <row r="56" spans="1:18" ht="18" x14ac:dyDescent="0.35">
      <c r="A56" s="2"/>
    </row>
    <row r="57" spans="1:18" ht="18" x14ac:dyDescent="0.35">
      <c r="A57" s="2"/>
    </row>
    <row r="58" spans="1:18" ht="18" x14ac:dyDescent="0.35">
      <c r="A58" s="2"/>
    </row>
    <row r="59" spans="1:18" ht="18" x14ac:dyDescent="0.35">
      <c r="A59" s="2"/>
    </row>
    <row r="60" spans="1:18" ht="18" x14ac:dyDescent="0.35">
      <c r="A60" s="2"/>
    </row>
    <row r="61" spans="1:18" ht="18" x14ac:dyDescent="0.35">
      <c r="A61" s="2"/>
      <c r="R61" s="3"/>
    </row>
    <row r="62" spans="1:18" ht="18" x14ac:dyDescent="0.35">
      <c r="A62" s="2"/>
      <c r="R62" s="3"/>
    </row>
    <row r="63" spans="1:18" ht="18" x14ac:dyDescent="0.35">
      <c r="A63" s="2"/>
    </row>
    <row r="64" spans="1:18" ht="18" x14ac:dyDescent="0.35">
      <c r="A64" s="2"/>
      <c r="R64" s="3"/>
    </row>
    <row r="65" spans="1:18" ht="18" x14ac:dyDescent="0.35">
      <c r="A65" s="2"/>
    </row>
    <row r="66" spans="1:18" ht="18" x14ac:dyDescent="0.35">
      <c r="A66" s="2"/>
      <c r="R66" s="3"/>
    </row>
    <row r="67" spans="1:18" ht="18" x14ac:dyDescent="0.35">
      <c r="A67" s="2"/>
    </row>
    <row r="68" spans="1:18" ht="18" x14ac:dyDescent="0.35">
      <c r="A68" s="2"/>
      <c r="R68" s="3"/>
    </row>
    <row r="69" spans="1:18" ht="18" x14ac:dyDescent="0.35">
      <c r="A69" s="2"/>
    </row>
    <row r="70" spans="1:18" ht="18" x14ac:dyDescent="0.35">
      <c r="A70" s="2"/>
    </row>
    <row r="71" spans="1:18" ht="18" x14ac:dyDescent="0.35">
      <c r="A71" s="2"/>
      <c r="O71" s="3"/>
    </row>
    <row r="72" spans="1:18" ht="18" x14ac:dyDescent="0.35">
      <c r="A72" s="2"/>
    </row>
  </sheetData>
  <pageMargins left="0.7" right="0.7" top="0.78740157499999996" bottom="0.78740157499999996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overview</vt:lpstr>
      <vt:lpstr>mock_ulc removed</vt:lpstr>
      <vt:lpstr>BiTE_ulc removed</vt:lpstr>
      <vt:lpstr>MV_ulc removed</vt:lpstr>
      <vt:lpstr>MV-BiTE_ulc removed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Heidbuechel</dc:creator>
  <cp:lastModifiedBy>Johannes Heidbuechel</cp:lastModifiedBy>
  <dcterms:created xsi:type="dcterms:W3CDTF">2024-02-07T21:35:40Z</dcterms:created>
  <dcterms:modified xsi:type="dcterms:W3CDTF">2024-02-07T21:55:30Z</dcterms:modified>
</cp:coreProperties>
</file>